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1570" windowHeight="8055" tabRatio="641" firstSheet="5" activeTab="6"/>
  </bookViews>
  <sheets>
    <sheet name="Макрос1" sheetId="30" state="hidden" r:id="rId1"/>
    <sheet name="Изоляция труб" sheetId="2" state="hidden" r:id="rId2"/>
    <sheet name="region" sheetId="34" state="hidden" r:id="rId3"/>
    <sheet name="UslDiam" sheetId="33" state="hidden" r:id="rId4"/>
    <sheet name="Изоляция плоскостей" sheetId="1" state="hidden" r:id="rId5"/>
    <sheet name="Описание" sheetId="3" r:id="rId6"/>
    <sheet name="communication" sheetId="42" r:id="rId7"/>
    <sheet name="7" sheetId="28" state="hidden" r:id="rId8"/>
    <sheet name="6" sheetId="26" state="hidden" r:id="rId9"/>
    <sheet name="3" sheetId="25" state="hidden" r:id="rId10"/>
    <sheet name="2" sheetId="23" state="hidden" r:id="rId11"/>
    <sheet name="1" sheetId="22" state="hidden" r:id="rId12"/>
    <sheet name="Теплоносители" sheetId="21" state="hidden" r:id="rId13"/>
    <sheet name="Влажность" sheetId="20" state="hidden" r:id="rId14"/>
    <sheet name="R_L_н" sheetId="19" state="hidden" r:id="rId15"/>
    <sheet name="Трубы T&gt;0 Открытый &gt;5000" sheetId="5" state="veryHidden" r:id="rId16"/>
    <sheet name="Трубы T&gt;0 Открытый &lt;=5000" sheetId="7" state="veryHidden" r:id="rId17"/>
    <sheet name="Плоскости T&gt;0 Открытый &gt;5000" sheetId="6" state="veryHidden" r:id="rId18"/>
    <sheet name="Плоскости T&gt;0 Открытый &lt;=5000" sheetId="8" state="veryHidden" r:id="rId19"/>
    <sheet name="Трубы T&gt;0 Помещение &gt;5000" sheetId="9" state="veryHidden" r:id="rId20"/>
    <sheet name="Плоскости T&gt;0 Помещение &gt;5000" sheetId="10" state="veryHidden" r:id="rId21"/>
    <sheet name="Трубы T&lt;0 Помещение" sheetId="18" state="veryHidden" r:id="rId22"/>
    <sheet name="Трубы T&gt;0 Помещение &lt;=5000" sheetId="11" state="veryHidden" r:id="rId23"/>
    <sheet name="Плоскости T&gt;0 Помещение &lt;=5000" sheetId="12" state="veryHidden" r:id="rId24"/>
    <sheet name="Трубы T&lt;0 Открытый" sheetId="13" state="veryHidden" r:id="rId25"/>
    <sheet name="Плоскости T&lt;0 Открытый" sheetId="14" state="veryHidden" r:id="rId26"/>
    <sheet name="Плоскости T&lt;0 Помещение" sheetId="17" state="veryHidden" r:id="rId27"/>
    <sheet name="Trub" sheetId="39" r:id="rId28"/>
    <sheet name="Plosk" sheetId="40" r:id="rId29"/>
    <sheet name="Emk" sheetId="41" r:id="rId30"/>
    <sheet name="Протокол" sheetId="38" r:id="rId31"/>
  </sheets>
  <functionGroups builtInGroupCount="18"/>
  <calcPr calcId="162913"/>
</workbook>
</file>

<file path=xl/calcChain.xml><?xml version="1.0" encoding="utf-8"?>
<calcChain xmlns="http://schemas.openxmlformats.org/spreadsheetml/2006/main">
  <c r="C3" i="33" l="1"/>
  <c r="C4" i="33"/>
  <c r="C5" i="33"/>
  <c r="C7" i="33"/>
  <c r="C8" i="33"/>
  <c r="C9" i="33"/>
  <c r="C10" i="33"/>
  <c r="C11" i="33"/>
  <c r="C12" i="33"/>
  <c r="C13" i="33"/>
  <c r="C14" i="33"/>
  <c r="C15" i="33"/>
  <c r="C16" i="33"/>
  <c r="C18" i="33"/>
  <c r="C20" i="33"/>
  <c r="C21" i="33"/>
  <c r="C23" i="33"/>
  <c r="C25" i="33"/>
</calcChain>
</file>

<file path=xl/sharedStrings.xml><?xml version="1.0" encoding="utf-8"?>
<sst xmlns="http://schemas.openxmlformats.org/spreadsheetml/2006/main" count="3021" uniqueCount="1362">
  <si>
    <t>Условный проход трубопровода, мм</t>
  </si>
  <si>
    <t>Температура теплоносителя, °С</t>
  </si>
  <si>
    <t>Плотность теплового потока, Вт/м</t>
  </si>
  <si>
    <t>Нормы плотности теплового потока оборудования и трубопроводов с положительными температурами при расположении на открытом воздухе и числе часов работы более 5000</t>
  </si>
  <si>
    <t>Более 1400 и плоские поверхности</t>
  </si>
  <si>
    <t>Нормы плотности теплового потока оборудования и трубопроводов с положительными температурами при расположении на открытом воздухе и числе часов работы менее 5000</t>
  </si>
  <si>
    <t>Плотность теплового потока, Вт/м2</t>
  </si>
  <si>
    <t>Нормы плотности теплового потока для оборудования и трубопроводов с положительными температурами при расположении в помещении и числе часов работы более 5000</t>
  </si>
  <si>
    <t>Нормы плотности теплового потока для оборудования и трубопроводов с положительными температурами при расположении в помещении и числе часов работы 5000 и менее</t>
  </si>
  <si>
    <t>Нормы плотности теплового потока для оборудования и трубопроводов с отрицательными температурами при расположении на открытом воздухе</t>
  </si>
  <si>
    <t>Нормы плотности теплового потока для оборудования и трубопроводов с отрицательными температурами при расположении в помещении</t>
  </si>
  <si>
    <t>Условный диаметр трубы, мм</t>
  </si>
  <si>
    <t>Внутри помещений</t>
  </si>
  <si>
    <t>На открытом воздухе</t>
  </si>
  <si>
    <t>Для поверхностей с малым коэффициентом излучения</t>
  </si>
  <si>
    <t>Для поверхностей с высоким коэффициентом излучения</t>
  </si>
  <si>
    <t>при температуре теплоносителя, °С</t>
  </si>
  <si>
    <r>
      <t xml:space="preserve">Ориентировочные значения </t>
    </r>
    <r>
      <rPr>
        <sz val="12"/>
        <color indexed="8"/>
        <rFont val="Calibri"/>
        <family val="2"/>
        <charset val="204"/>
      </rPr>
      <t xml:space="preserve">, R_L_н </t>
    </r>
    <r>
      <rPr>
        <b/>
        <sz val="12"/>
        <color indexed="8"/>
        <rFont val="Calibri"/>
        <family val="2"/>
        <charset val="204"/>
      </rPr>
      <t xml:space="preserve">м </t>
    </r>
    <r>
      <rPr>
        <b/>
        <sz val="12"/>
        <color indexed="8"/>
        <rFont val="Symbol"/>
        <family val="1"/>
        <charset val="2"/>
      </rPr>
      <t>×</t>
    </r>
    <r>
      <rPr>
        <b/>
        <sz val="12"/>
        <color indexed="8"/>
        <rFont val="Calibri"/>
        <family val="2"/>
        <charset val="204"/>
      </rPr>
      <t xml:space="preserve"> °С/Вт</t>
    </r>
  </si>
  <si>
    <r>
      <t>t</t>
    </r>
    <r>
      <rPr>
        <vertAlign val="subscript"/>
        <sz val="11"/>
        <color indexed="8"/>
        <rFont val="Calibri"/>
        <family val="2"/>
        <charset val="204"/>
      </rPr>
      <t>н</t>
    </r>
    <r>
      <rPr>
        <sz val="11"/>
        <color theme="1"/>
        <rFont val="Calibri"/>
        <family val="2"/>
        <charset val="204"/>
        <scheme val="minor"/>
      </rPr>
      <t>, °C</t>
    </r>
  </si>
  <si>
    <r>
      <t xml:space="preserve">Относительная влажность воздуха </t>
    </r>
    <r>
      <rPr>
        <sz val="11"/>
        <color indexed="8"/>
        <rFont val="Symbol"/>
        <family val="1"/>
        <charset val="2"/>
      </rPr>
      <t>j</t>
    </r>
    <r>
      <rPr>
        <sz val="11"/>
        <color theme="1"/>
        <rFont val="Calibri"/>
        <family val="2"/>
        <charset val="204"/>
        <scheme val="minor"/>
      </rPr>
      <t>, %</t>
    </r>
  </si>
  <si>
    <t>Заводские толщины, см</t>
  </si>
  <si>
    <t>Необходимость учета</t>
  </si>
  <si>
    <t>Нормы расхода:</t>
  </si>
  <si>
    <t xml:space="preserve">PAROC Pro Wired Mat 80 </t>
  </si>
  <si>
    <t>+</t>
  </si>
  <si>
    <t xml:space="preserve">PAROC Pro Wired Mat 100 </t>
  </si>
  <si>
    <t xml:space="preserve">PAROC Pro Wired Mat 130 </t>
  </si>
  <si>
    <t>PAROC Pro Section 100</t>
  </si>
  <si>
    <t>PAROC Pro Section 140</t>
  </si>
  <si>
    <t>PAROC HVAC Section AluCoat T</t>
  </si>
  <si>
    <t>PAROC HVAC Mat</t>
  </si>
  <si>
    <t>PAROC Pro Lamella Mat AluCoat</t>
  </si>
  <si>
    <t>PAROC Hvac Lamella Mat AluCoat</t>
  </si>
  <si>
    <t>PAROC Hvac Fire Mat AluCoat</t>
  </si>
  <si>
    <t>PAROC Wired Mat 100 AluCoat</t>
  </si>
  <si>
    <t>PAROC Pro Wired Mat 130 AluCoat</t>
  </si>
  <si>
    <t>PAROC HVAC Mat AluCoat</t>
  </si>
  <si>
    <t>PAROC HVAC Wired Mat 35AluCoat</t>
  </si>
  <si>
    <t>PAROC Pro Loose Wool 80кг/м</t>
  </si>
  <si>
    <t>PAROC Pro Loose Wool 150кг/м</t>
  </si>
  <si>
    <t>PAROC Lamella Mat 50 AL7</t>
  </si>
  <si>
    <t>-</t>
  </si>
  <si>
    <t>PAROC Pro Wired Mat 80 AL1</t>
  </si>
  <si>
    <t>PAROC Pro Wired Mat 80 W2</t>
  </si>
  <si>
    <t>PAROC Pro Wired Mat 80 AL1 W2</t>
  </si>
  <si>
    <t>PAROC Pro Wired Mat 100 AL1</t>
  </si>
  <si>
    <t>PAROC Pro Wired Mat 100 W2</t>
  </si>
  <si>
    <t>PAROC Pro Wired Mat 100 AL1 W2</t>
  </si>
  <si>
    <t>PAROC Pro Wired Mat 130 AL1</t>
  </si>
  <si>
    <t>PAROC Pro Wired Mat 130 W2</t>
  </si>
  <si>
    <t>PAROC Pro Wired Mat 130 AL1 W2</t>
  </si>
  <si>
    <t>PAROC Pro Section 100 DL</t>
  </si>
  <si>
    <t>PAROC Pro Lock 100</t>
  </si>
  <si>
    <t>PAROC Pro Segment 100</t>
  </si>
  <si>
    <t>PAROC Pro Segment 100 DL</t>
  </si>
  <si>
    <t>PAROC Pro Bend 100</t>
  </si>
  <si>
    <t>PAROC HVAC Section AluCoat</t>
  </si>
  <si>
    <t>PAROC Pro Section 140 DL</t>
  </si>
  <si>
    <t>PAROC Pro Lock 140</t>
  </si>
  <si>
    <t>PAROC Pro Segment 140</t>
  </si>
  <si>
    <t>PAROC Pro Bend 140</t>
  </si>
  <si>
    <t>PAROC Hvac Bend AluCoatT</t>
  </si>
  <si>
    <t>Вода</t>
  </si>
  <si>
    <t>PAROC Pro Slab 40</t>
  </si>
  <si>
    <t>PAROC Pro Slab 60</t>
  </si>
  <si>
    <t>PAROC Pro Slab 80</t>
  </si>
  <si>
    <t>PAROC Pro Roof Slab 90</t>
  </si>
  <si>
    <t>PAROC Fire Place 90 AL1</t>
  </si>
  <si>
    <t>PAROC Fire Slab 100</t>
  </si>
  <si>
    <t>Шифр ресурса</t>
  </si>
  <si>
    <t>Наименование элемента затрат</t>
  </si>
  <si>
    <t>Ед. измер.</t>
  </si>
  <si>
    <t>26-01- 008-1</t>
  </si>
  <si>
    <t>МАТЕРИАЛЫ</t>
  </si>
  <si>
    <t>101-0540</t>
  </si>
  <si>
    <t>Лента стальная упаковочная, мягкая, нормальной точности 0,7х20-50 мм</t>
  </si>
  <si>
    <t>т</t>
  </si>
  <si>
    <t>101-1876</t>
  </si>
  <si>
    <t>Сталь оцинкованная листовая толщина листа 0,8 мм</t>
  </si>
  <si>
    <t>104-9212</t>
  </si>
  <si>
    <t>Стеклопластик рулонный, шириной 50 мм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</si>
  <si>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</si>
  <si>
    <t>104-9220</t>
  </si>
  <si>
    <t>Материалы теплоизоляционные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</si>
  <si>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</si>
  <si>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517-0301</t>
  </si>
  <si>
    <t>Листы алюминиевые марки АД1Н, толщиной 1 мм</t>
  </si>
  <si>
    <t>кг</t>
  </si>
  <si>
    <t>101-0811</t>
  </si>
  <si>
    <t>Проволока стальная низкоуглеродистая разного назначения оцинкованная диаметром 1,1 мм</t>
  </si>
  <si>
    <t>101-0812</t>
  </si>
  <si>
    <t>Проволока стальная низкоуглеродистая разного назначения оцинкованная диаметром 1,6 мм</t>
  </si>
  <si>
    <t>101-9225</t>
  </si>
  <si>
    <t>Винты самонарезающие оцинкованные</t>
  </si>
  <si>
    <t>26-01- 010-1</t>
  </si>
  <si>
    <t>26-01- 003-1</t>
  </si>
  <si>
    <t>104-9094</t>
  </si>
  <si>
    <t>Цилиндры и полуцилиндры из минеральной ваты на синтетическом связующем</t>
  </si>
  <si>
    <t xml:space="preserve">Шифрресурса </t>
  </si>
  <si>
    <t xml:space="preserve">26-01-049-1 </t>
  </si>
  <si>
    <t xml:space="preserve">26-01-049-2 </t>
  </si>
  <si>
    <t xml:space="preserve">26-01-049-3 </t>
  </si>
  <si>
    <t>104-9141</t>
  </si>
  <si>
    <t>Детали покрытия из листов алюминиевых сплавов</t>
  </si>
  <si>
    <t>516-0609</t>
  </si>
  <si>
    <t>Лента алюминиевая марки АД1Н, шириной 20 мм, толщиной 0,8 мм</t>
  </si>
  <si>
    <t>104-9142</t>
  </si>
  <si>
    <t>Детали покрытия из оцинкованной стали</t>
  </si>
  <si>
    <t>Сталь оцинкованная листовая, толщина листа 0,8 мм</t>
  </si>
  <si>
    <t>101-1706</t>
  </si>
  <si>
    <t>Сталь оцинкованная листовая, толщина листа 0,5 мм</t>
  </si>
  <si>
    <t>104-9143</t>
  </si>
  <si>
    <t>Покровный слой</t>
  </si>
  <si>
    <t>26-01- 011-1</t>
  </si>
  <si>
    <t>101-0814</t>
  </si>
  <si>
    <t>Проволока стальная низкоуглеродистая разного назначения оцинкованная диаметром 6,0-6,3 мм</t>
  </si>
  <si>
    <t>101-1986</t>
  </si>
  <si>
    <t>Проволока стальная низкоуглеродистая общего назначения, диаметром 0,8 мм</t>
  </si>
  <si>
    <t>101-1987</t>
  </si>
  <si>
    <t>Проволока стальная низкоуглеродистая общего назначения, диаметром 2 мм</t>
  </si>
  <si>
    <t>104-9163</t>
  </si>
  <si>
    <t>Изделия теплоизоляционные</t>
  </si>
  <si>
    <t>Теплоёмкость, кДж/(кг*С)</t>
  </si>
  <si>
    <t>Плотность (кг/м3)</t>
  </si>
  <si>
    <t>Температура замерзания/ загустевания (С)</t>
  </si>
  <si>
    <t>Удельная теплоёмкость замерзания, кДж/(кг*С)</t>
  </si>
  <si>
    <t>Расчёты выполняются согласно СП 61.13330.2012</t>
  </si>
  <si>
    <t>Регион</t>
  </si>
  <si>
    <t>Европейская часть России</t>
  </si>
  <si>
    <t>Пар 1МПа</t>
  </si>
  <si>
    <t>Пар 2МПа</t>
  </si>
  <si>
    <t>Пар 10МПа</t>
  </si>
  <si>
    <t>Алг. вер.</t>
  </si>
  <si>
    <t>Тмакс, C</t>
  </si>
  <si>
    <t>s, мм</t>
  </si>
  <si>
    <t>D, mm</t>
  </si>
  <si>
    <t>Name</t>
  </si>
  <si>
    <t>Севастополь</t>
  </si>
  <si>
    <t>СВ</t>
  </si>
  <si>
    <t>Керчь</t>
  </si>
  <si>
    <t>СЗ</t>
  </si>
  <si>
    <t>Ялта</t>
  </si>
  <si>
    <t>З</t>
  </si>
  <si>
    <t>Феодосия</t>
  </si>
  <si>
    <t>Симферополь</t>
  </si>
  <si>
    <t>Клепинино</t>
  </si>
  <si>
    <t>В</t>
  </si>
  <si>
    <t>Ай-Петри</t>
  </si>
  <si>
    <t>Республика Крым</t>
  </si>
  <si>
    <t>Ярославль</t>
  </si>
  <si>
    <t>Ю</t>
  </si>
  <si>
    <t>Ярославская область</t>
  </si>
  <si>
    <t>Хоседа-Хард*</t>
  </si>
  <si>
    <t>Хоседа-Хард</t>
  </si>
  <si>
    <t>Ходовариха</t>
  </si>
  <si>
    <t>ЮЗ</t>
  </si>
  <si>
    <t>Нарьян-Мар*</t>
  </si>
  <si>
    <t>Коткино</t>
  </si>
  <si>
    <t>Канин Нос*</t>
  </si>
  <si>
    <t>Индига*</t>
  </si>
  <si>
    <t>Варандей</t>
  </si>
  <si>
    <t>Ненецкий АО (Архангельская область)</t>
  </si>
  <si>
    <t>(Архангельская область)</t>
  </si>
  <si>
    <t>Ненецкий АО</t>
  </si>
  <si>
    <t>Якутск*</t>
  </si>
  <si>
    <t>С</t>
  </si>
  <si>
    <t>Эйик</t>
  </si>
  <si>
    <t>Эйк</t>
  </si>
  <si>
    <t>Шелагонцы*</t>
  </si>
  <si>
    <t>Чурапча</t>
  </si>
  <si>
    <t>Чульман*</t>
  </si>
  <si>
    <t>Усть-Мома*</t>
  </si>
  <si>
    <t>Усть-Миль</t>
  </si>
  <si>
    <t>Усть-Мая*</t>
  </si>
  <si>
    <t>Тяня</t>
  </si>
  <si>
    <t>Туой-Хая</t>
  </si>
  <si>
    <t>Томпо*</t>
  </si>
  <si>
    <t>Томмот</t>
  </si>
  <si>
    <t>Токо*</t>
  </si>
  <si>
    <t>Сюрен-Кюель</t>
  </si>
  <si>
    <t>Сюльдюкар</t>
  </si>
  <si>
    <t>Сухана*</t>
  </si>
  <si>
    <t>Сунтар*</t>
  </si>
  <si>
    <t>Среднеколымск*</t>
  </si>
  <si>
    <t>Саскылах*</t>
  </si>
  <si>
    <t>ЮВ</t>
  </si>
  <si>
    <t>Сангар</t>
  </si>
  <si>
    <t>Охотский Перевоз</t>
  </si>
  <si>
    <t>Оленек*</t>
  </si>
  <si>
    <t>Олекминск*</t>
  </si>
  <si>
    <t>Оймякон*</t>
  </si>
  <si>
    <t>Нюя</t>
  </si>
  <si>
    <t>Нюрба</t>
  </si>
  <si>
    <t>Нера</t>
  </si>
  <si>
    <t>Нагорный*</t>
  </si>
  <si>
    <t>Ленск*</t>
  </si>
  <si>
    <t>Кюсюр*</t>
  </si>
  <si>
    <t>Крест-Хальджай*</t>
  </si>
  <si>
    <t>Иэма</t>
  </si>
  <si>
    <t>Исить*</t>
  </si>
  <si>
    <t>Зырянка*</t>
  </si>
  <si>
    <t>Жиганск*</t>
  </si>
  <si>
    <t>Екючю</t>
  </si>
  <si>
    <t>Дружина</t>
  </si>
  <si>
    <t>Джикимда*</t>
  </si>
  <si>
    <t>Джарджан*</t>
  </si>
  <si>
    <t>Джалинда</t>
  </si>
  <si>
    <t>Воронцово</t>
  </si>
  <si>
    <t>Витим*</t>
  </si>
  <si>
    <t>Вилюйск*</t>
  </si>
  <si>
    <t>Верхоянск*</t>
  </si>
  <si>
    <t>Буяга</t>
  </si>
  <si>
    <t>Бердигястях</t>
  </si>
  <si>
    <t>Батамай</t>
  </si>
  <si>
    <t>Амга</t>
  </si>
  <si>
    <t>Аллах-Юнь</t>
  </si>
  <si>
    <t>Алдан*</t>
  </si>
  <si>
    <t>Республика Саха (Якутия)</t>
  </si>
  <si>
    <t>Эньмувеем*</t>
  </si>
  <si>
    <t>Усть-Олой*</t>
  </si>
  <si>
    <t>Островное*</t>
  </si>
  <si>
    <t>Омолон</t>
  </si>
  <si>
    <t>Марково*</t>
  </si>
  <si>
    <t>Березово</t>
  </si>
  <si>
    <t>Анадырь*</t>
  </si>
  <si>
    <t>Чукотский АО (Магаданская область)</t>
  </si>
  <si>
    <t>Чебоксары</t>
  </si>
  <si>
    <t>Порецкое*</t>
  </si>
  <si>
    <t>Чувашская Республика</t>
  </si>
  <si>
    <t>Чита*</t>
  </si>
  <si>
    <t>Чара*</t>
  </si>
  <si>
    <t>Тупик</t>
  </si>
  <si>
    <t>Тунгокочен</t>
  </si>
  <si>
    <t>Средний Калар</t>
  </si>
  <si>
    <t>Нерчинский Завод*</t>
  </si>
  <si>
    <t>Нерчинск</t>
  </si>
  <si>
    <t>Могоча*</t>
  </si>
  <si>
    <t>Красный Чикой*</t>
  </si>
  <si>
    <t>Калакан*</t>
  </si>
  <si>
    <t>Дарасун</t>
  </si>
  <si>
    <t>Борзя*</t>
  </si>
  <si>
    <t>Александровский Завод</t>
  </si>
  <si>
    <t>Акша</t>
  </si>
  <si>
    <t>Агинское</t>
  </si>
  <si>
    <t>Читинская область</t>
  </si>
  <si>
    <t>Грозный*</t>
  </si>
  <si>
    <t>*</t>
  </si>
  <si>
    <t>Чеченская Республика</t>
  </si>
  <si>
    <t>Челябинск</t>
  </si>
  <si>
    <t>Нязепетровск</t>
  </si>
  <si>
    <t>Верхнеуральск</t>
  </si>
  <si>
    <t>Челябинская область</t>
  </si>
  <si>
    <t>Шира</t>
  </si>
  <si>
    <t>Абакан</t>
  </si>
  <si>
    <t>Республика Хакассия</t>
  </si>
  <si>
    <t>Энкэн</t>
  </si>
  <si>
    <t>Чумикан</t>
  </si>
  <si>
    <t>Хабаровск*</t>
  </si>
  <si>
    <t>Троицкое</t>
  </si>
  <si>
    <t>Средний Ургал</t>
  </si>
  <si>
    <t>Софийский Прииск*</t>
  </si>
  <si>
    <t>Советская Гавань*</t>
  </si>
  <si>
    <t>Сизиман</t>
  </si>
  <si>
    <t>Им.Полины Осипенко*</t>
  </si>
  <si>
    <t>Охотск*</t>
  </si>
  <si>
    <t>Облучье</t>
  </si>
  <si>
    <t>Николаевск-на-Амуре*</t>
  </si>
  <si>
    <t>Нижнетамбовское</t>
  </si>
  <si>
    <t>Комсомольск-на-Амуре</t>
  </si>
  <si>
    <t>Екатерино-Никольское*</t>
  </si>
  <si>
    <t>Джаорэ*</t>
  </si>
  <si>
    <t>Де-Кастри</t>
  </si>
  <si>
    <t>Гроссевичи</t>
  </si>
  <si>
    <t>Гвасюги</t>
  </si>
  <si>
    <t>Вяземский</t>
  </si>
  <si>
    <t>Биробиджан</t>
  </si>
  <si>
    <t>Бира</t>
  </si>
  <si>
    <t>Бикин</t>
  </si>
  <si>
    <t>Байдуков</t>
  </si>
  <si>
    <t>Аян</t>
  </si>
  <si>
    <t>Хабаровский край</t>
  </si>
  <si>
    <t>Ульяновск</t>
  </si>
  <si>
    <t>Сурское</t>
  </si>
  <si>
    <t>Ульяновская область</t>
  </si>
  <si>
    <t>Сарапул*</t>
  </si>
  <si>
    <t>Ижевск*</t>
  </si>
  <si>
    <t>Глазов</t>
  </si>
  <si>
    <t>Удмуртская Республика</t>
  </si>
  <si>
    <r>
      <t>Ханты-Мансийск*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</si>
  <si>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r>
      <t>Уренгой - </t>
    </r>
    <r>
      <rPr>
        <b/>
        <sz val="9.4"/>
        <color rgb="FF3B3B3B"/>
        <rFont val="Arial"/>
        <family val="2"/>
        <charset val="204"/>
      </rPr>
      <t>Ямало-Ненецкий АО</t>
    </r>
  </si>
  <si>
    <t>Уренгой - Ямало-Ненецкий АО</t>
  </si>
  <si>
    <t>Угут</t>
  </si>
  <si>
    <t>Тюмень*</t>
  </si>
  <si>
    <t>Тобольск*</t>
  </si>
  <si>
    <r>
      <t>Тарко-Сале* - </t>
    </r>
    <r>
      <rPr>
        <b/>
        <sz val="9.4"/>
        <color rgb="FF3B3B3B"/>
        <rFont val="Arial"/>
        <family val="2"/>
        <charset val="204"/>
      </rPr>
      <t>Ямало-Ненецкий АО</t>
    </r>
  </si>
  <si>
    <r>
      <t>Сургут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</si>
  <si>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Сургут - Ханты-Мансийский АО</t>
  </si>
  <si>
    <t>Сосьва</t>
  </si>
  <si>
    <t>Салехард*</t>
  </si>
  <si>
    <t>Октябрьское*</t>
  </si>
  <si>
    <t>Надым*</t>
  </si>
  <si>
    <t>Марресаля*</t>
  </si>
  <si>
    <t>Леуши*</t>
  </si>
  <si>
    <r>
      <t>Кондинское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</si>
  <si>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Кондинское - Ханты-Мансийский АО</t>
  </si>
  <si>
    <t>Демьянское</t>
  </si>
  <si>
    <r>
      <t>Березово*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</si>
  <si>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Тюменская область</t>
  </si>
  <si>
    <t>Тула</t>
  </si>
  <si>
    <t>Тульская область</t>
  </si>
  <si>
    <t>Кызыл*</t>
  </si>
  <si>
    <t>Республика Тыва</t>
  </si>
  <si>
    <t>Усть-Озерное*</t>
  </si>
  <si>
    <t>Томск*</t>
  </si>
  <si>
    <t>Средний Васюган*</t>
  </si>
  <si>
    <t>Колпашево*</t>
  </si>
  <si>
    <t>Александровское*</t>
  </si>
  <si>
    <t>Томская область</t>
  </si>
  <si>
    <t>Ржев</t>
  </si>
  <si>
    <t>Тверь</t>
  </si>
  <si>
    <t>Бежецк</t>
  </si>
  <si>
    <t>Тверская область</t>
  </si>
  <si>
    <t>Казань*</t>
  </si>
  <si>
    <t>Елабуга*</t>
  </si>
  <si>
    <t>Бугульма</t>
  </si>
  <si>
    <t>Республика Татарстан</t>
  </si>
  <si>
    <t>Тамбов</t>
  </si>
  <si>
    <t>Тамбовская область</t>
  </si>
  <si>
    <t>Ставрополь*</t>
  </si>
  <si>
    <t>Пятигорск</t>
  </si>
  <si>
    <t>Невинномысск</t>
  </si>
  <si>
    <t>Кисловодск</t>
  </si>
  <si>
    <t>Арзгир</t>
  </si>
  <si>
    <t>Ставропольский край</t>
  </si>
  <si>
    <t>Смоленск*</t>
  </si>
  <si>
    <t>Вязьма</t>
  </si>
  <si>
    <t>Смоленская область</t>
  </si>
  <si>
    <t>Владикавказ*</t>
  </si>
  <si>
    <t>Республика Северная Осетия</t>
  </si>
  <si>
    <t>Республика Северная Осетия - Алания</t>
  </si>
  <si>
    <t>Шамары</t>
  </si>
  <si>
    <t>Туринск</t>
  </si>
  <si>
    <t>Каменск-Уральский</t>
  </si>
  <si>
    <t>Ивдель*</t>
  </si>
  <si>
    <t>Екатеринбург*</t>
  </si>
  <si>
    <t>Верхотурье*</t>
  </si>
  <si>
    <t>Свердловская область</t>
  </si>
  <si>
    <t>Южно-Сахалинск*</t>
  </si>
  <si>
    <t>Южно-Курильск*</t>
  </si>
  <si>
    <t>Холмск</t>
  </si>
  <si>
    <t>Рыбновск</t>
  </si>
  <si>
    <t>Поронайск*</t>
  </si>
  <si>
    <t>Погиби*</t>
  </si>
  <si>
    <t>Оха</t>
  </si>
  <si>
    <t>Ноглики*</t>
  </si>
  <si>
    <t>Невельск*</t>
  </si>
  <si>
    <t>Макаров</t>
  </si>
  <si>
    <t>Курильск*</t>
  </si>
  <si>
    <t>Корсаков</t>
  </si>
  <si>
    <t>Кировское</t>
  </si>
  <si>
    <t>Долинск</t>
  </si>
  <si>
    <t>Александровск-Сахалинский*</t>
  </si>
  <si>
    <t>Сахалинская область</t>
  </si>
  <si>
    <t>Саратов*</t>
  </si>
  <si>
    <t>Балашов</t>
  </si>
  <si>
    <t>Александров Гай</t>
  </si>
  <si>
    <t>Саратовская область</t>
  </si>
  <si>
    <t>Самара</t>
  </si>
  <si>
    <t>Самарская область</t>
  </si>
  <si>
    <t>Рязань</t>
  </si>
  <si>
    <t>Рязанская область</t>
  </si>
  <si>
    <t>Таганрог*</t>
  </si>
  <si>
    <t>Ростов-на-Дону*</t>
  </si>
  <si>
    <t>Миллерово*</t>
  </si>
  <si>
    <t>Ростовская область</t>
  </si>
  <si>
    <t>Псков*</t>
  </si>
  <si>
    <t>Великие Луки*</t>
  </si>
  <si>
    <t>Псковская область</t>
  </si>
  <si>
    <t>Чугуевка</t>
  </si>
  <si>
    <t>Сосуново</t>
  </si>
  <si>
    <t>Рудная Пристань*</t>
  </si>
  <si>
    <t>Преображение*</t>
  </si>
  <si>
    <t>Посьет*</t>
  </si>
  <si>
    <t>Партизанск</t>
  </si>
  <si>
    <t>Мельничное*</t>
  </si>
  <si>
    <t>Маргаритово</t>
  </si>
  <si>
    <t>Красный Яр</t>
  </si>
  <si>
    <t>Кировский</t>
  </si>
  <si>
    <t>Дальнереченск*</t>
  </si>
  <si>
    <t>Владивосток*</t>
  </si>
  <si>
    <t>Богополь</t>
  </si>
  <si>
    <t>Астраханка</t>
  </si>
  <si>
    <t>Анучино</t>
  </si>
  <si>
    <t>Агзу</t>
  </si>
  <si>
    <t>Приморский край</t>
  </si>
  <si>
    <t>Чердынь</t>
  </si>
  <si>
    <t>Пермь*</t>
  </si>
  <si>
    <t>Ножовка</t>
  </si>
  <si>
    <t>Бисер*</t>
  </si>
  <si>
    <t>Пермская область</t>
  </si>
  <si>
    <t>Пенза*</t>
  </si>
  <si>
    <t>Земетчино*</t>
  </si>
  <si>
    <t>Пензенская область</t>
  </si>
  <si>
    <t>Орел*</t>
  </si>
  <si>
    <t>Орловская область</t>
  </si>
  <si>
    <t>Сорочинск</t>
  </si>
  <si>
    <t>Оренбург*</t>
  </si>
  <si>
    <t>Кувандык</t>
  </si>
  <si>
    <t>Оренбургская область</t>
  </si>
  <si>
    <t>Черлак*</t>
  </si>
  <si>
    <t>Тара*</t>
  </si>
  <si>
    <t>Омск*</t>
  </si>
  <si>
    <t>Исиль-Куль</t>
  </si>
  <si>
    <t>Омская область</t>
  </si>
  <si>
    <t>Чулым</t>
  </si>
  <si>
    <t>Татарск*</t>
  </si>
  <si>
    <t>Новосибирск*</t>
  </si>
  <si>
    <t>Кыштовка</t>
  </si>
  <si>
    <t>Купино*</t>
  </si>
  <si>
    <t>Кочки</t>
  </si>
  <si>
    <t>Карасук</t>
  </si>
  <si>
    <t>Болотное*</t>
  </si>
  <si>
    <t>Барабинск*</t>
  </si>
  <si>
    <t>Новосибирская область</t>
  </si>
  <si>
    <t>Новгород</t>
  </si>
  <si>
    <t>Великий Новгород</t>
  </si>
  <si>
    <t>Боровичи</t>
  </si>
  <si>
    <t>Новгородская область</t>
  </si>
  <si>
    <t>Нижний Новгород</t>
  </si>
  <si>
    <t>Выкса</t>
  </si>
  <si>
    <t>Арзамас</t>
  </si>
  <si>
    <t>Нижегородская область</t>
  </si>
  <si>
    <t>Юкспор</t>
  </si>
  <si>
    <t>Умба*</t>
  </si>
  <si>
    <t>Терско-Орловский</t>
  </si>
  <si>
    <t>Териберка*</t>
  </si>
  <si>
    <t>Пялица</t>
  </si>
  <si>
    <t>Пулозеро</t>
  </si>
  <si>
    <t>Ниванкюль</t>
  </si>
  <si>
    <t>Мурманск*</t>
  </si>
  <si>
    <t>Мончегорск</t>
  </si>
  <si>
    <t>Ловозеро</t>
  </si>
  <si>
    <t>Краснощелье*</t>
  </si>
  <si>
    <t>Ковдор*</t>
  </si>
  <si>
    <t>Кандалакша*</t>
  </si>
  <si>
    <t>Вайда-Губа*</t>
  </si>
  <si>
    <t>Мурманская область</t>
  </si>
  <si>
    <t>Москва*</t>
  </si>
  <si>
    <t>Кашира</t>
  </si>
  <si>
    <t>Дмитров</t>
  </si>
  <si>
    <t>Московская область</t>
  </si>
  <si>
    <t>Саранск</t>
  </si>
  <si>
    <t>Республика Мордовия</t>
  </si>
  <si>
    <t>Йошкар-Ола*</t>
  </si>
  <si>
    <t>Республика Марий Эл</t>
  </si>
  <si>
    <t>Сусуман*</t>
  </si>
  <si>
    <t>Среднекан</t>
  </si>
  <si>
    <t>Палатка</t>
  </si>
  <si>
    <t>Омсукчан</t>
  </si>
  <si>
    <t>Магадан (Нагаева, бухта)*</t>
  </si>
  <si>
    <t>Брохово*</t>
  </si>
  <si>
    <t>Аркагала</t>
  </si>
  <si>
    <t>Магаданская область</t>
  </si>
  <si>
    <t>Тихвин*</t>
  </si>
  <si>
    <t>Свирица</t>
  </si>
  <si>
    <t>Санкт-Петербург*</t>
  </si>
  <si>
    <t>Ленинградская область</t>
  </si>
  <si>
    <t>Липецк</t>
  </si>
  <si>
    <t>Липецкая область</t>
  </si>
  <si>
    <t>Курск*</t>
  </si>
  <si>
    <t>Курская область</t>
  </si>
  <si>
    <t>Курган*</t>
  </si>
  <si>
    <t>Курганская область</t>
  </si>
  <si>
    <t>Ярцево</t>
  </si>
  <si>
    <r>
      <t>Челюскин, мыс - </t>
    </r>
    <r>
      <rPr>
        <b/>
        <sz val="9.4"/>
        <color rgb="FF3B3B3B"/>
        <rFont val="Arial"/>
        <family val="2"/>
        <charset val="204"/>
      </rPr>
      <t>Таймырский АО</t>
    </r>
  </si>
  <si>
    <t>Челюскин, мыс - Таймырский АО</t>
  </si>
  <si>
    <r>
      <t>Хатанга* - </t>
    </r>
    <r>
      <rPr>
        <b/>
        <sz val="9.4"/>
        <color rgb="FF3B3B3B"/>
        <rFont val="Arial"/>
        <family val="2"/>
        <charset val="204"/>
      </rPr>
      <t>Таймырский АО</t>
    </r>
  </si>
  <si>
    <t>Туруханск*</t>
  </si>
  <si>
    <r>
      <t>Тура* - </t>
    </r>
    <r>
      <rPr>
        <b/>
        <sz val="9.4"/>
        <color rgb="FF3B3B3B"/>
        <rFont val="Arial"/>
        <family val="2"/>
        <charset val="204"/>
      </rPr>
      <t>Эвенкийский АО</t>
    </r>
  </si>
  <si>
    <t>Таимба</t>
  </si>
  <si>
    <t>Минусинск*</t>
  </si>
  <si>
    <t>Красноярск*</t>
  </si>
  <si>
    <t>Ключи</t>
  </si>
  <si>
    <t>Кежма</t>
  </si>
  <si>
    <t>Канск</t>
  </si>
  <si>
    <t>Игарка*</t>
  </si>
  <si>
    <r>
      <t>Ессей* - </t>
    </r>
    <r>
      <rPr>
        <b/>
        <sz val="9.4"/>
        <color rgb="FF3B3B3B"/>
        <rFont val="Arial"/>
        <family val="2"/>
        <charset val="204"/>
      </rPr>
      <t>Эвенкийский АО</t>
    </r>
  </si>
  <si>
    <t>Енисейск</t>
  </si>
  <si>
    <r>
      <t>Дудинка* - </t>
    </r>
    <r>
      <rPr>
        <b/>
        <sz val="9.4"/>
        <color rgb="FF3B3B3B"/>
        <rFont val="Arial"/>
        <family val="2"/>
        <charset val="204"/>
      </rPr>
      <t>Таймырский АО</t>
    </r>
  </si>
  <si>
    <r>
      <t>Диксон* - </t>
    </r>
    <r>
      <rPr>
        <b/>
        <sz val="9.4"/>
        <color rgb="FF3B3B3B"/>
        <rFont val="Arial"/>
        <family val="2"/>
        <charset val="204"/>
      </rPr>
      <t>Таймырский АО</t>
    </r>
  </si>
  <si>
    <t>Волочанка*</t>
  </si>
  <si>
    <t>Верхнеимбатск*</t>
  </si>
  <si>
    <t>Вельмо</t>
  </si>
  <si>
    <r>
      <t>Ванавара* - </t>
    </r>
    <r>
      <rPr>
        <b/>
        <sz val="9.4"/>
        <color rgb="FF3B3B3B"/>
        <rFont val="Arial"/>
        <family val="2"/>
        <charset val="204"/>
      </rPr>
      <t>Эвенкийский АО</t>
    </r>
  </si>
  <si>
    <t>Богучаны*</t>
  </si>
  <si>
    <t>Боготол</t>
  </si>
  <si>
    <r>
      <t>Байкит* - </t>
    </r>
    <r>
      <rPr>
        <b/>
        <sz val="9.4"/>
        <color rgb="FF3B3B3B"/>
        <rFont val="Arial"/>
        <family val="2"/>
        <charset val="204"/>
      </rPr>
      <t>Эвенкийский АО</t>
    </r>
  </si>
  <si>
    <t>Ачинск*</t>
  </si>
  <si>
    <t>Агата*</t>
  </si>
  <si>
    <t>Красноярский край</t>
  </si>
  <si>
    <t>Красноярскийкрай</t>
  </si>
  <si>
    <t>Тихорецк*</t>
  </si>
  <si>
    <t>Сочи*</t>
  </si>
  <si>
    <t>Приморско-Ахтарск</t>
  </si>
  <si>
    <t>Краснодар*</t>
  </si>
  <si>
    <t>Красная Поляна</t>
  </si>
  <si>
    <t>Краснодарский край</t>
  </si>
  <si>
    <t>Краснодарскийкрай</t>
  </si>
  <si>
    <t>Шарья</t>
  </si>
  <si>
    <t>Чухлома</t>
  </si>
  <si>
    <t>Кострома</t>
  </si>
  <si>
    <t>Костромская область</t>
  </si>
  <si>
    <t>Костромскаяобласть</t>
  </si>
  <si>
    <t>Ухта</t>
  </si>
  <si>
    <t>Усть-Щугор</t>
  </si>
  <si>
    <t>Усть-Цильма*</t>
  </si>
  <si>
    <t>Усть-Уса*</t>
  </si>
  <si>
    <t>Троицко-Печорское*</t>
  </si>
  <si>
    <t>Сыктывкар*</t>
  </si>
  <si>
    <t>Печора*</t>
  </si>
  <si>
    <t>Петрунь*</t>
  </si>
  <si>
    <t>Объячево</t>
  </si>
  <si>
    <t>Воркута</t>
  </si>
  <si>
    <t>Вендинга</t>
  </si>
  <si>
    <t>Республика Коми</t>
  </si>
  <si>
    <t>Савали</t>
  </si>
  <si>
    <t>Нагорское</t>
  </si>
  <si>
    <t>Вятка</t>
  </si>
  <si>
    <t>Кировская область</t>
  </si>
  <si>
    <t>Усть-Кабырза</t>
  </si>
  <si>
    <t>Топки</t>
  </si>
  <si>
    <t>Тисуль*</t>
  </si>
  <si>
    <t>Тайга*</t>
  </si>
  <si>
    <t>Мариинск</t>
  </si>
  <si>
    <t>Кондома</t>
  </si>
  <si>
    <t>Киселевск</t>
  </si>
  <si>
    <t>Кемерово*</t>
  </si>
  <si>
    <t>Кемеровская область</t>
  </si>
  <si>
    <t>Кемеровскаяобласть</t>
  </si>
  <si>
    <t>Сортавала*</t>
  </si>
  <si>
    <t>Реболы*</t>
  </si>
  <si>
    <t>Петрозаводск*</t>
  </si>
  <si>
    <t>Паданы*</t>
  </si>
  <si>
    <t>Олонец</t>
  </si>
  <si>
    <t>Лоухи</t>
  </si>
  <si>
    <t>Кемь*</t>
  </si>
  <si>
    <t>Республика Карелия</t>
  </si>
  <si>
    <t>РеспубликаКарелия</t>
  </si>
  <si>
    <t>Черкесск</t>
  </si>
  <si>
    <t>Карачаево-Черкесская Республика</t>
  </si>
  <si>
    <t>Усть-Хайрюзово*</t>
  </si>
  <si>
    <t>Усть-Камчатск</t>
  </si>
  <si>
    <r>
      <t>Усть-Воямполка* - </t>
    </r>
    <r>
      <rPr>
        <b/>
        <sz val="9.4"/>
        <color rgb="FF3B3B3B"/>
        <rFont val="Arial"/>
        <family val="2"/>
        <charset val="204"/>
      </rPr>
      <t>Корякский АО</t>
    </r>
  </si>
  <si>
    <t>Октябрьская</t>
  </si>
  <si>
    <t>Ука</t>
  </si>
  <si>
    <t>Соболево*</t>
  </si>
  <si>
    <t>Кроноки</t>
  </si>
  <si>
    <t>Семлячики*</t>
  </si>
  <si>
    <t>Петропавловск-Камчатский*</t>
  </si>
  <si>
    <r>
      <t>Оссора* - </t>
    </r>
    <r>
      <rPr>
        <b/>
        <sz val="9.4"/>
        <color rgb="FF3B3B3B"/>
        <rFont val="Arial"/>
        <family val="2"/>
        <charset val="204"/>
      </rPr>
      <t>Корякский АО</t>
    </r>
  </si>
  <si>
    <t>о.Беринга*</t>
  </si>
  <si>
    <t>Начики*</t>
  </si>
  <si>
    <t>Мильково</t>
  </si>
  <si>
    <t>Лопатка, мыс*</t>
  </si>
  <si>
    <r>
      <t>Корф* - </t>
    </r>
    <r>
      <rPr>
        <b/>
        <sz val="9.4"/>
        <color rgb="FF3B3B3B"/>
        <rFont val="Arial"/>
        <family val="2"/>
        <charset val="204"/>
      </rPr>
      <t>Корякский АО</t>
    </r>
  </si>
  <si>
    <t>Корякский АО</t>
  </si>
  <si>
    <t>Козыревск</t>
  </si>
  <si>
    <t>Ключи*</t>
  </si>
  <si>
    <r>
      <t>Ича* - </t>
    </r>
    <r>
      <rPr>
        <b/>
        <sz val="9.4"/>
        <color rgb="FF3B3B3B"/>
        <rFont val="Arial"/>
        <family val="2"/>
        <charset val="204"/>
      </rPr>
      <t>Корякский АО</t>
    </r>
  </si>
  <si>
    <r>
      <t>Апука* - </t>
    </r>
    <r>
      <rPr>
        <b/>
        <sz val="9.4"/>
        <color rgb="FF3B3B3B"/>
        <rFont val="Arial"/>
        <family val="2"/>
        <charset val="204"/>
      </rPr>
      <t>Корякский АО</t>
    </r>
  </si>
  <si>
    <t>Камчатская область</t>
  </si>
  <si>
    <t>Калуга</t>
  </si>
  <si>
    <t>Калужская область</t>
  </si>
  <si>
    <t>Элиста*</t>
  </si>
  <si>
    <t>Республика Калмыкия</t>
  </si>
  <si>
    <t>Калининград*</t>
  </si>
  <si>
    <t>Калининградская область</t>
  </si>
  <si>
    <t>Нальчик</t>
  </si>
  <si>
    <t>Кабардино-Балкарская Республика</t>
  </si>
  <si>
    <r>
      <t>Усть-Ордынский - </t>
    </r>
    <r>
      <rPr>
        <b/>
        <sz val="9.4"/>
        <color rgb="FF3B3B3B"/>
        <rFont val="Arial"/>
        <family val="2"/>
        <charset val="204"/>
      </rPr>
      <t>Бурятский АО</t>
    </r>
  </si>
  <si>
    <t>Тулун*</t>
  </si>
  <si>
    <t>Тайшет*</t>
  </si>
  <si>
    <t>Слюдянка</t>
  </si>
  <si>
    <t>Саянск*</t>
  </si>
  <si>
    <t>Преображенка</t>
  </si>
  <si>
    <t>Перевоз*</t>
  </si>
  <si>
    <t>Орлинга*</t>
  </si>
  <si>
    <t>Непа</t>
  </si>
  <si>
    <t>Невон</t>
  </si>
  <si>
    <t>Наканно*</t>
  </si>
  <si>
    <t>Марково</t>
  </si>
  <si>
    <t>Мама</t>
  </si>
  <si>
    <t>Киренск*</t>
  </si>
  <si>
    <t>Ичера</t>
  </si>
  <si>
    <t>Иркутск*</t>
  </si>
  <si>
    <t>Илимск</t>
  </si>
  <si>
    <t>Ика*</t>
  </si>
  <si>
    <t>Зима</t>
  </si>
  <si>
    <t>Жигалово*</t>
  </si>
  <si>
    <t>Ербогачен*</t>
  </si>
  <si>
    <t>Дубровское</t>
  </si>
  <si>
    <t>Верхняя Гутара*</t>
  </si>
  <si>
    <t>Братск</t>
  </si>
  <si>
    <t>Бодайбо*</t>
  </si>
  <si>
    <t>Алыгджер</t>
  </si>
  <si>
    <t>Иркутская область</t>
  </si>
  <si>
    <t>Кинешма</t>
  </si>
  <si>
    <t>Иваново</t>
  </si>
  <si>
    <t>Ивановская область</t>
  </si>
  <si>
    <t>Южно-Сухокумск</t>
  </si>
  <si>
    <t>Махачкала*</t>
  </si>
  <si>
    <t>Дербент*</t>
  </si>
  <si>
    <t>Республика Дагестан</t>
  </si>
  <si>
    <t>Воронеж*</t>
  </si>
  <si>
    <t>Воронежская область</t>
  </si>
  <si>
    <t>Тотьма*</t>
  </si>
  <si>
    <t>Никольск*</t>
  </si>
  <si>
    <t>Вытегра*</t>
  </si>
  <si>
    <t>Вологда*</t>
  </si>
  <si>
    <t>Бабаево</t>
  </si>
  <si>
    <t>Вологодская область</t>
  </si>
  <si>
    <t>Эльтон*</t>
  </si>
  <si>
    <t>Новоаннинский</t>
  </si>
  <si>
    <t>Котельниково</t>
  </si>
  <si>
    <t>Костычевка</t>
  </si>
  <si>
    <t>Камышин</t>
  </si>
  <si>
    <t>Волгоград*</t>
  </si>
  <si>
    <t>Волгоградская область</t>
  </si>
  <si>
    <t>Муром</t>
  </si>
  <si>
    <t>Владимир</t>
  </si>
  <si>
    <t>Владимирская область</t>
  </si>
  <si>
    <t>Хоринск</t>
  </si>
  <si>
    <t>Улан-Удэ*</t>
  </si>
  <si>
    <t>Уакит</t>
  </si>
  <si>
    <t>Сосново-Озерское*</t>
  </si>
  <si>
    <t>Нижнеангарск*</t>
  </si>
  <si>
    <t>Монды</t>
  </si>
  <si>
    <t>Кяхта*</t>
  </si>
  <si>
    <t>Багдарин*</t>
  </si>
  <si>
    <t>Баргузин*</t>
  </si>
  <si>
    <t>Бабушкин*</t>
  </si>
  <si>
    <t>Республика Бурятия</t>
  </si>
  <si>
    <t>Брянск*</t>
  </si>
  <si>
    <t>Брянская область</t>
  </si>
  <si>
    <t>Белгород</t>
  </si>
  <si>
    <t>Белгородская область</t>
  </si>
  <si>
    <t>Янаул*</t>
  </si>
  <si>
    <t>Уфа*</t>
  </si>
  <si>
    <t>Мелеуз</t>
  </si>
  <si>
    <t>Дуван*</t>
  </si>
  <si>
    <t>Белорецк</t>
  </si>
  <si>
    <t>Республика Башкортостан</t>
  </si>
  <si>
    <t>Верхний Баскунчак*</t>
  </si>
  <si>
    <t>Астрахань*</t>
  </si>
  <si>
    <t>Астраханская область</t>
  </si>
  <si>
    <t>Онега*</t>
  </si>
  <si>
    <t>Мезень*</t>
  </si>
  <si>
    <t>Котлас*</t>
  </si>
  <si>
    <t>Койнас*</t>
  </si>
  <si>
    <t>Емецк</t>
  </si>
  <si>
    <t>Борковская</t>
  </si>
  <si>
    <t>Архангельск*</t>
  </si>
  <si>
    <t>Архангельская область</t>
  </si>
  <si>
    <t>Экимчан*</t>
  </si>
  <si>
    <t>Шимановск</t>
  </si>
  <si>
    <t>Черняево*</t>
  </si>
  <si>
    <t>Усть-Нюкжа*</t>
  </si>
  <si>
    <t>Унаха</t>
  </si>
  <si>
    <t>Тында</t>
  </si>
  <si>
    <t>Тыган-Уркан</t>
  </si>
  <si>
    <t>Средняя Нюкжа</t>
  </si>
  <si>
    <t>Сковородино*</t>
  </si>
  <si>
    <t>Свободный</t>
  </si>
  <si>
    <t>Поярково</t>
  </si>
  <si>
    <t>Огорон</t>
  </si>
  <si>
    <t>Норский Склад</t>
  </si>
  <si>
    <t>Зея</t>
  </si>
  <si>
    <t>Завитинск</t>
  </si>
  <si>
    <t>Ерофей Павлович</t>
  </si>
  <si>
    <t>Дамбуки</t>
  </si>
  <si>
    <t>Гош</t>
  </si>
  <si>
    <t>Бысса</t>
  </si>
  <si>
    <t>Братолюбовка</t>
  </si>
  <si>
    <t>Бомнак*</t>
  </si>
  <si>
    <t>Благовещенск*</t>
  </si>
  <si>
    <t>Белогорск</t>
  </si>
  <si>
    <t>Архара*</t>
  </si>
  <si>
    <t>Республика Алтай</t>
  </si>
  <si>
    <t>Амурская область</t>
  </si>
  <si>
    <t>Тогул</t>
  </si>
  <si>
    <t>Славгород*</t>
  </si>
  <si>
    <t>Рубцовск*</t>
  </si>
  <si>
    <t>Родино</t>
  </si>
  <si>
    <t>Онгудай</t>
  </si>
  <si>
    <t>Кош-Агач*</t>
  </si>
  <si>
    <t>Кош-Агач</t>
  </si>
  <si>
    <t>Катанда</t>
  </si>
  <si>
    <t>Змеиногорск*</t>
  </si>
  <si>
    <t>Бийск-Зональная*</t>
  </si>
  <si>
    <t>Беля</t>
  </si>
  <si>
    <t>Барнаул*</t>
  </si>
  <si>
    <t>Алейск</t>
  </si>
  <si>
    <t>Алтайский край</t>
  </si>
  <si>
    <t>Майкоп</t>
  </si>
  <si>
    <t>Республика Адыгея</t>
  </si>
  <si>
    <t>РОССИЙСКАЯ ФЕДЕРАЦИЯ</t>
  </si>
  <si>
    <t>Год</t>
  </si>
  <si>
    <t>XII</t>
  </si>
  <si>
    <t>XI</t>
  </si>
  <si>
    <t>X</t>
  </si>
  <si>
    <t>IX</t>
  </si>
  <si>
    <t>VIII</t>
  </si>
  <si>
    <t>VII</t>
  </si>
  <si>
    <t>VI</t>
  </si>
  <si>
    <t>V</t>
  </si>
  <si>
    <t>IV</t>
  </si>
  <si>
    <t>III</t>
  </si>
  <si>
    <t>II</t>
  </si>
  <si>
    <t>I</t>
  </si>
  <si>
    <t>Республика, край, область, пункт</t>
  </si>
  <si>
    <t>средняя Температура</t>
  </si>
  <si>
    <t>продолжительность</t>
  </si>
  <si>
    <t>≤10°С</t>
  </si>
  <si>
    <t>≤8°С</t>
  </si>
  <si>
    <t>≤0°С</t>
  </si>
  <si>
    <t>0,92</t>
  </si>
  <si>
    <t>0,98</t>
  </si>
  <si>
    <t>Средняя скорость ветра, м/с, за период со средней суточной температурой воздуха ≤8°С</t>
  </si>
  <si>
    <t>Максимальная из средних скоростей ветра по румбам за январь, м/с</t>
  </si>
  <si>
    <t>Преоблаладающее направление ветра за декабрь-февраль</t>
  </si>
  <si>
    <t>Количество осадков за ноябрь-март, мм</t>
  </si>
  <si>
    <t>Средняя месячная относительная влажность воздуха в 15 ч наиболее холодного месяца, %</t>
  </si>
  <si>
    <t>Средняя месячная относительная влажность воздуха наиболее холодного месяца, %</t>
  </si>
  <si>
    <t>Продолжительность, сут, и средняя температура воздуха, °С, периода со средней суточной температурой воздуха</t>
  </si>
  <si>
    <t>Средняя суточная амплитуда температуры воздуха наиболее холодного месяца, °С</t>
  </si>
  <si>
    <t>Абсолютная минимальная Температура воздуха, °С</t>
  </si>
  <si>
    <t>Температура воздуха, °С, обеспеченностью 0,94</t>
  </si>
  <si>
    <t>Температура воздуха наиболее холодной пятидневки, °С, обеспеченностью</t>
  </si>
  <si>
    <t>Температура воздуха наиболее холодных суток, °С, обеспеченностью</t>
  </si>
  <si>
    <t>Районы Крайнего Севера</t>
  </si>
  <si>
    <t>Дальний Восток</t>
  </si>
  <si>
    <t>Восточная Сибирь</t>
  </si>
  <si>
    <t>Западная Сибирь</t>
  </si>
  <si>
    <t>Урал</t>
  </si>
  <si>
    <t>бесканальный</t>
  </si>
  <si>
    <t>в непроходном канале</t>
  </si>
  <si>
    <t>в помещении, тоннеле</t>
  </si>
  <si>
    <t>на открытом воздухе</t>
  </si>
  <si>
    <t>Барнаул</t>
  </si>
  <si>
    <t>Бийск-Зональная</t>
  </si>
  <si>
    <t>Змеиногорск</t>
  </si>
  <si>
    <t>Рубцовск</t>
  </si>
  <si>
    <t>Славгород</t>
  </si>
  <si>
    <t>Архара</t>
  </si>
  <si>
    <t>Благовещенск</t>
  </si>
  <si>
    <t>Бомнак</t>
  </si>
  <si>
    <t>Сковородино</t>
  </si>
  <si>
    <t>Усть-Нюкжа</t>
  </si>
  <si>
    <t>Черняево</t>
  </si>
  <si>
    <t>Экимчан</t>
  </si>
  <si>
    <t>Архангельск</t>
  </si>
  <si>
    <t>Койнас</t>
  </si>
  <si>
    <t>Котлас</t>
  </si>
  <si>
    <t>Мезень</t>
  </si>
  <si>
    <t>Онега</t>
  </si>
  <si>
    <t>Астрахань</t>
  </si>
  <si>
    <t>Верхний Баскунчак</t>
  </si>
  <si>
    <t>Дуван</t>
  </si>
  <si>
    <t>Уфа</t>
  </si>
  <si>
    <t>Янаул</t>
  </si>
  <si>
    <t>Брянск</t>
  </si>
  <si>
    <t>Бабушкин</t>
  </si>
  <si>
    <t>Баргузин</t>
  </si>
  <si>
    <t>Багдарин</t>
  </si>
  <si>
    <t>Кяхта</t>
  </si>
  <si>
    <t>Нижнеангарск</t>
  </si>
  <si>
    <t>Сосново-Озерское</t>
  </si>
  <si>
    <t>Улан-Удэ</t>
  </si>
  <si>
    <t>Волгоград</t>
  </si>
  <si>
    <t>Эльтон</t>
  </si>
  <si>
    <t>Вологда</t>
  </si>
  <si>
    <t>Вытегра</t>
  </si>
  <si>
    <t>Никольск</t>
  </si>
  <si>
    <t>Тотьма</t>
  </si>
  <si>
    <t>Воронеж</t>
  </si>
  <si>
    <t>Дербент</t>
  </si>
  <si>
    <t>Махачкала</t>
  </si>
  <si>
    <t>Бодайбо</t>
  </si>
  <si>
    <t>Верхняя Гутара</t>
  </si>
  <si>
    <t>Ербогачен</t>
  </si>
  <si>
    <t>Жигалово</t>
  </si>
  <si>
    <t>Ика</t>
  </si>
  <si>
    <t>Иркутск</t>
  </si>
  <si>
    <t>Киренск</t>
  </si>
  <si>
    <t>Наканно</t>
  </si>
  <si>
    <t>Орлинга</t>
  </si>
  <si>
    <t>Перевоз</t>
  </si>
  <si>
    <t>Саянск</t>
  </si>
  <si>
    <t>Тайшет</t>
  </si>
  <si>
    <t>Тулун</t>
  </si>
  <si>
    <t>Калининград</t>
  </si>
  <si>
    <t>Усть-Ордынский</t>
  </si>
  <si>
    <t>Элиста</t>
  </si>
  <si>
    <t>Апука - Корякский АО</t>
  </si>
  <si>
    <t>Ича - Корякский АО</t>
  </si>
  <si>
    <t>Лопатка, мыс</t>
  </si>
  <si>
    <t>Начики</t>
  </si>
  <si>
    <t>о.Беринга</t>
  </si>
  <si>
    <t>Оссора - Корякский АО</t>
  </si>
  <si>
    <t>Петропавловск-Камчатский</t>
  </si>
  <si>
    <t>Семлячики</t>
  </si>
  <si>
    <t>Соболево</t>
  </si>
  <si>
    <t>Усть-Воямполка - Корякский АО</t>
  </si>
  <si>
    <t>Усть-Хайрюзово</t>
  </si>
  <si>
    <t>Кемь</t>
  </si>
  <si>
    <t>Паданы</t>
  </si>
  <si>
    <t>Петрозаводск</t>
  </si>
  <si>
    <t>Реболы</t>
  </si>
  <si>
    <t>Сортавала</t>
  </si>
  <si>
    <t>Кемерово</t>
  </si>
  <si>
    <t>Тайга</t>
  </si>
  <si>
    <t>Тисуль</t>
  </si>
  <si>
    <t>Петрунь</t>
  </si>
  <si>
    <t>Печора</t>
  </si>
  <si>
    <t>Сыктывкар</t>
  </si>
  <si>
    <t>Троицко-Печорск</t>
  </si>
  <si>
    <t>Усть-Уса</t>
  </si>
  <si>
    <t>Усть-Цильма</t>
  </si>
  <si>
    <t>Краснодар</t>
  </si>
  <si>
    <t>Сочи</t>
  </si>
  <si>
    <t>Тихорецк</t>
  </si>
  <si>
    <t>Агата</t>
  </si>
  <si>
    <t>Ачинск</t>
  </si>
  <si>
    <t>Байкит - Эвенкийский АО</t>
  </si>
  <si>
    <t>Богучаны</t>
  </si>
  <si>
    <t>Ванавара - Эвенкийский АО</t>
  </si>
  <si>
    <t>Верхнеимбатск</t>
  </si>
  <si>
    <t>Волочанка</t>
  </si>
  <si>
    <t>Диксон - Таймырский АО</t>
  </si>
  <si>
    <t>Дудинка - Таймырский АО</t>
  </si>
  <si>
    <t>Ессей - Эвенкийский АО</t>
  </si>
  <si>
    <t>Игарка</t>
  </si>
  <si>
    <t>Красноярск</t>
  </si>
  <si>
    <t>Минусинск</t>
  </si>
  <si>
    <t>Тура - Эвенкийский АО</t>
  </si>
  <si>
    <t>Туруханск</t>
  </si>
  <si>
    <t>Хатанга - Таймырский АО</t>
  </si>
  <si>
    <t>Курган</t>
  </si>
  <si>
    <t>Курск</t>
  </si>
  <si>
    <t>Санкт-Петербург</t>
  </si>
  <si>
    <t>Тихвин</t>
  </si>
  <si>
    <t>Брохово</t>
  </si>
  <si>
    <t>Магадан (Нагаева, бухта)</t>
  </si>
  <si>
    <t>Сусуман</t>
  </si>
  <si>
    <t>Йошкар-Ола</t>
  </si>
  <si>
    <t>Москва</t>
  </si>
  <si>
    <t>Вайда-Губа</t>
  </si>
  <si>
    <t>Кандалакша</t>
  </si>
  <si>
    <t>Ковдор</t>
  </si>
  <si>
    <t>Краснощелье</t>
  </si>
  <si>
    <t>Мурманск</t>
  </si>
  <si>
    <t>Териберка</t>
  </si>
  <si>
    <t>Умба</t>
  </si>
  <si>
    <t>Барабинск</t>
  </si>
  <si>
    <t>Болотное</t>
  </si>
  <si>
    <t>Купино</t>
  </si>
  <si>
    <t>Новосибирск</t>
  </si>
  <si>
    <t>Татарск</t>
  </si>
  <si>
    <t>Омск</t>
  </si>
  <si>
    <t>Тара</t>
  </si>
  <si>
    <t>Черлак</t>
  </si>
  <si>
    <t>Оренбург</t>
  </si>
  <si>
    <t>Орел</t>
  </si>
  <si>
    <t>Земетчино</t>
  </si>
  <si>
    <t>Пенза</t>
  </si>
  <si>
    <t>Бисер</t>
  </si>
  <si>
    <t>Пермь</t>
  </si>
  <si>
    <t>Владивосток</t>
  </si>
  <si>
    <t>Дальнереченск</t>
  </si>
  <si>
    <t>Мельничное</t>
  </si>
  <si>
    <t>Посьет</t>
  </si>
  <si>
    <t>Преображение</t>
  </si>
  <si>
    <t>Рудная Пристань</t>
  </si>
  <si>
    <t>Великие Луки</t>
  </si>
  <si>
    <t>Псков</t>
  </si>
  <si>
    <t>Миллерово</t>
  </si>
  <si>
    <t>Ростов-на-Дону</t>
  </si>
  <si>
    <t>Таганрог</t>
  </si>
  <si>
    <t>Саратов</t>
  </si>
  <si>
    <t>Александровск-Сахалинский</t>
  </si>
  <si>
    <t>Курильск</t>
  </si>
  <si>
    <t>Невельск</t>
  </si>
  <si>
    <t>Ноглики</t>
  </si>
  <si>
    <t>Погиби</t>
  </si>
  <si>
    <t>Поронайск</t>
  </si>
  <si>
    <t>Южно-Курильск</t>
  </si>
  <si>
    <t>Южно-Сахалинск</t>
  </si>
  <si>
    <t>Верхотурье</t>
  </si>
  <si>
    <t>Екатеринбург</t>
  </si>
  <si>
    <t>Ивдель</t>
  </si>
  <si>
    <t>Владикавказ</t>
  </si>
  <si>
    <t>Смоленск</t>
  </si>
  <si>
    <t>Ставрополь</t>
  </si>
  <si>
    <t>Елабуга</t>
  </si>
  <si>
    <t>Казань</t>
  </si>
  <si>
    <t>Александровское</t>
  </si>
  <si>
    <t>Колпашево</t>
  </si>
  <si>
    <t>Средний Васюган</t>
  </si>
  <si>
    <t>Томск</t>
  </si>
  <si>
    <t>Усть-Озерное</t>
  </si>
  <si>
    <t>Кызыл</t>
  </si>
  <si>
    <t>Березово - Ханты-Мансийский АО</t>
  </si>
  <si>
    <t>Леуши</t>
  </si>
  <si>
    <t>Марресаля</t>
  </si>
  <si>
    <t>Надым</t>
  </si>
  <si>
    <t>Октябрьское</t>
  </si>
  <si>
    <t>Салехард</t>
  </si>
  <si>
    <t>Тарко-Сале - Ямало-Ненецкий АО</t>
  </si>
  <si>
    <t>Тобольск</t>
  </si>
  <si>
    <t>Тюмень</t>
  </si>
  <si>
    <t>Ханты-Мансийск - Ханты-Мансийский АО</t>
  </si>
  <si>
    <t>Ижевск</t>
  </si>
  <si>
    <t>Сарапул</t>
  </si>
  <si>
    <t>Джаорэ</t>
  </si>
  <si>
    <t>Екатерино-Никольское</t>
  </si>
  <si>
    <t>Николаевск-на-Амуре</t>
  </si>
  <si>
    <t>Охотск</t>
  </si>
  <si>
    <t>Им.Полины Осипенко</t>
  </si>
  <si>
    <t>Советская Гавань</t>
  </si>
  <si>
    <t>Софийский Прииск</t>
  </si>
  <si>
    <t>Хабаровск</t>
  </si>
  <si>
    <t>Грозный</t>
  </si>
  <si>
    <t>Борзя</t>
  </si>
  <si>
    <t>Калакан</t>
  </si>
  <si>
    <t>Красный Чикой</t>
  </si>
  <si>
    <t>Могоча</t>
  </si>
  <si>
    <t>Нерчинский Завод</t>
  </si>
  <si>
    <t>Чара</t>
  </si>
  <si>
    <t>Чита</t>
  </si>
  <si>
    <t>Анадырь</t>
  </si>
  <si>
    <t>Порецкое</t>
  </si>
  <si>
    <t>Островное</t>
  </si>
  <si>
    <t>Усть-Олой</t>
  </si>
  <si>
    <t>Эньмувеем</t>
  </si>
  <si>
    <t>Алдан</t>
  </si>
  <si>
    <t>Верхоянск</t>
  </si>
  <si>
    <t>Вилюйск</t>
  </si>
  <si>
    <t>Витим</t>
  </si>
  <si>
    <t>Джарджан</t>
  </si>
  <si>
    <t>Джикимда</t>
  </si>
  <si>
    <t>Жиганск</t>
  </si>
  <si>
    <t>Зырянка</t>
  </si>
  <si>
    <t>Исить</t>
  </si>
  <si>
    <t>Крест-Хальджай</t>
  </si>
  <si>
    <t>Кюсюр</t>
  </si>
  <si>
    <t>Ленск</t>
  </si>
  <si>
    <t>Нагорный</t>
  </si>
  <si>
    <t>Оймякон</t>
  </si>
  <si>
    <t>Олекминск</t>
  </si>
  <si>
    <t>Оленек</t>
  </si>
  <si>
    <t>Саскылах</t>
  </si>
  <si>
    <t>Среднеколымск</t>
  </si>
  <si>
    <t>Сунтар</t>
  </si>
  <si>
    <t>Сухана</t>
  </si>
  <si>
    <t>Токо</t>
  </si>
  <si>
    <t>Томпо</t>
  </si>
  <si>
    <t>Усть-Мая</t>
  </si>
  <si>
    <t>Усть-Мома</t>
  </si>
  <si>
    <t>Чульман</t>
  </si>
  <si>
    <t>Шелагонцы</t>
  </si>
  <si>
    <t>Якутск</t>
  </si>
  <si>
    <t>Индига</t>
  </si>
  <si>
    <t>Канин Нос</t>
  </si>
  <si>
    <t>Нарьян-Мар</t>
  </si>
  <si>
    <t>Tср</t>
  </si>
  <si>
    <t>Tхолод</t>
  </si>
  <si>
    <t>Tжара</t>
  </si>
  <si>
    <t xml:space="preserve">* Данная программа рассчитывает характеристики системы с технической изоляцией PAROC и носит рекомендательный характер. </t>
  </si>
  <si>
    <t>Paroc Group не несет ответственность за прямой или косвенный ущерб, в результате использования программы.</t>
  </si>
  <si>
    <r>
      <t>Программа расчёта тепловой изоляции PAROC</t>
    </r>
    <r>
      <rPr>
        <b/>
        <u/>
        <vertAlign val="superscript"/>
        <sz val="11"/>
        <color indexed="8"/>
        <rFont val="Calibri"/>
        <family val="2"/>
        <charset val="204"/>
      </rPr>
      <t>*</t>
    </r>
  </si>
  <si>
    <t>СВОД ПРАВИЛ СП 61.13330.2012</t>
  </si>
  <si>
    <t>ТЕПЛОВАЯ ИЗОЛЯЦИЯ ОБОРУДОВАНИЯ И ТРУБОПРОВОДОВ</t>
  </si>
  <si>
    <t>АКТУАЛИЗИРОВАННАЯ РЕДАКЦИЯ СНиП 41 - 03 - 2003</t>
  </si>
  <si>
    <t>ОБЩИЕ ПАРАМЕТРЫ РАСЧЁТА:</t>
  </si>
  <si>
    <t>Внешняя среда:</t>
  </si>
  <si>
    <t>Открытый воздух</t>
  </si>
  <si>
    <t>Скорость ветра:</t>
  </si>
  <si>
    <t>Температура окружающей среды:</t>
  </si>
  <si>
    <t>Изолируемый объект:</t>
  </si>
  <si>
    <t>Материал:</t>
  </si>
  <si>
    <t>Металл</t>
  </si>
  <si>
    <t>Внешнее покрытие:</t>
  </si>
  <si>
    <t>Без покровного слоя</t>
  </si>
  <si>
    <t>Толщина стенки:</t>
  </si>
  <si>
    <t>Наработка системы более 5000 часов:</t>
  </si>
  <si>
    <t>ДА</t>
  </si>
  <si>
    <t>ДОПОЛНИТЕЛЬНЫЕ ПАРАМЕТРЫ РАСЧЁТА:</t>
  </si>
  <si>
    <t>РЕЗУЛЬТАТЫ ВЫЧИСЛЕНИЙ:</t>
  </si>
  <si>
    <t>ПРОТОКОЛ РАСЧЁТА:</t>
  </si>
  <si>
    <t>Определение норм плотности теплового потока для оборудования и трубопроводов согласно п.6.1.2</t>
  </si>
  <si>
    <t>Региональный коэффициент (Таблица 13):</t>
  </si>
  <si>
    <t>k = 1,0</t>
  </si>
  <si>
    <t>Итоговое значение нормы теплового потока с учётом регионального коэффициента:</t>
  </si>
  <si>
    <t>Теплоёмкость теплоносителя</t>
  </si>
  <si>
    <t>C = 4,187 кДж/(кг·К)</t>
  </si>
  <si>
    <t xml:space="preserve"> --------</t>
  </si>
  <si>
    <t>Начальная температура теплоносителя:</t>
  </si>
  <si>
    <t>PAROC Wired Mat 130 AluCoat</t>
  </si>
  <si>
    <t>PAROC Pro Loose Mat 50</t>
  </si>
  <si>
    <t>PAROC Pro Loose Mat 80</t>
  </si>
  <si>
    <t>PAROC Fire Slab 80</t>
  </si>
  <si>
    <t>PAROC Pro Section 140 Clad T</t>
  </si>
  <si>
    <t>Наименование</t>
  </si>
  <si>
    <t>1.191107</t>
  </si>
  <si>
    <t>переменная</t>
  </si>
  <si>
    <t>значение</t>
  </si>
  <si>
    <t>type</t>
  </si>
  <si>
    <t>название</t>
  </si>
  <si>
    <t>CB_Trub_Region</t>
  </si>
  <si>
    <t>соmpobox</t>
  </si>
  <si>
    <t>регион прокладки</t>
  </si>
  <si>
    <t>CB_Trub_Sreda</t>
  </si>
  <si>
    <t>внешняя среда</t>
  </si>
  <si>
    <t>L_Trub_NosT</t>
  </si>
  <si>
    <t>textbox</t>
  </si>
  <si>
    <t>Начальная температура носителя</t>
  </si>
  <si>
    <t>L_Trub_T_Sredi</t>
  </si>
  <si>
    <t>Температура окружающей среды</t>
  </si>
  <si>
    <t>CB_Trub_NosType</t>
  </si>
  <si>
    <t>Теплоноситель</t>
  </si>
  <si>
    <t>L_Trub_WindSpeed</t>
  </si>
  <si>
    <t>Скорость ветра</t>
  </si>
  <si>
    <t>CB_Trub_Mater</t>
  </si>
  <si>
    <t>Материал</t>
  </si>
  <si>
    <t>CB_Trub_VneshPokr</t>
  </si>
  <si>
    <t>Внешнее покрытие</t>
  </si>
  <si>
    <t>cb_Usl_D</t>
  </si>
  <si>
    <t>Условный проход труборповода</t>
  </si>
  <si>
    <t>L_Trub_Length</t>
  </si>
  <si>
    <t>длина</t>
  </si>
  <si>
    <t>ChB_UsePoteri</t>
  </si>
  <si>
    <t>checkbox</t>
  </si>
  <si>
    <t>учитывать дополнительные теплопотери в СН</t>
  </si>
  <si>
    <t>CB_Trub_Krepezh</t>
  </si>
  <si>
    <t>Способ крепления</t>
  </si>
  <si>
    <t>CB_Trub_Dir</t>
  </si>
  <si>
    <t>Направление секции</t>
  </si>
  <si>
    <t>ChB_Trub_Koltsa</t>
  </si>
  <si>
    <t>учесть потери через опорные кольца</t>
  </si>
  <si>
    <t>L_Trub_Koltsa_Poteri</t>
  </si>
  <si>
    <t>потери на кольцах</t>
  </si>
  <si>
    <t>ChB_Trub_5000</t>
  </si>
  <si>
    <t>наработка системы более 5000</t>
  </si>
  <si>
    <t>L_Trub_D</t>
  </si>
  <si>
    <t>внешний диаметр</t>
  </si>
  <si>
    <t>L_Trub_WWidth</t>
  </si>
  <si>
    <t>толщина стенки</t>
  </si>
  <si>
    <t>CH</t>
  </si>
  <si>
    <t>CB_Trub_Iz_Norm</t>
  </si>
  <si>
    <t>Изоляция</t>
  </si>
  <si>
    <t>B_Calc_Norm</t>
  </si>
  <si>
    <t>commandButton</t>
  </si>
  <si>
    <t>Рассчитать</t>
  </si>
  <si>
    <t>L_Iz_Toch_Norm</t>
  </si>
  <si>
    <t>output</t>
  </si>
  <si>
    <t>Точный расчет толщины</t>
  </si>
  <si>
    <t>L_Iz_Recomend_Norm</t>
  </si>
  <si>
    <t>Рекомендуемая толщина</t>
  </si>
  <si>
    <t>L_Q_SP_Norm</t>
  </si>
  <si>
    <t>Тепловые потери</t>
  </si>
  <si>
    <t>L_T_Iz_SP_Norm</t>
  </si>
  <si>
    <t>Допустимая температура</t>
  </si>
  <si>
    <t>L_T_Iz_Norm</t>
  </si>
  <si>
    <t>Температура поверхности внешнего</t>
  </si>
  <si>
    <t>СТ</t>
  </si>
  <si>
    <t>CB_Trub_Iz_T</t>
  </si>
  <si>
    <t>L_Trub_NosT2</t>
  </si>
  <si>
    <t>Конечная температура</t>
  </si>
  <si>
    <t>L_Trub_Rashod_T</t>
  </si>
  <si>
    <t>удельный массовый расход</t>
  </si>
  <si>
    <t>B_Calc_T</t>
  </si>
  <si>
    <t>L_Iz_Toch_T</t>
  </si>
  <si>
    <t>Точный расчет</t>
  </si>
  <si>
    <t>L_Iz_Recomend_T</t>
  </si>
  <si>
    <t>рекомендуемая толщина</t>
  </si>
  <si>
    <t>L_T_Iz_T</t>
  </si>
  <si>
    <t>температура поверхности</t>
  </si>
  <si>
    <t>L_Q_SP_T</t>
  </si>
  <si>
    <t>Тепловые поетери</t>
  </si>
  <si>
    <t>L_Q_Calc_T</t>
  </si>
  <si>
    <t>расчетные тепловые поетри</t>
  </si>
  <si>
    <t>L_NosT2_T</t>
  </si>
  <si>
    <t>Расчетныая температура носитаея</t>
  </si>
  <si>
    <t>ТБ</t>
  </si>
  <si>
    <t>CB_Trub_Iz_MaxT</t>
  </si>
  <si>
    <t>B_Calc_MaxT</t>
  </si>
  <si>
    <t>L_Iz_Toch_MaxT</t>
  </si>
  <si>
    <t>L_Iz_Recomend_MaxT</t>
  </si>
  <si>
    <t>L_T_Iz_SP_MaxT</t>
  </si>
  <si>
    <t>L_Q_SP_MaxT</t>
  </si>
  <si>
    <t>Теповые потери</t>
  </si>
  <si>
    <t>L_Q_Calc_MaxT</t>
  </si>
  <si>
    <t>Расчетные тепловые пот</t>
  </si>
  <si>
    <t>ПК</t>
  </si>
  <si>
    <t>CB_Trub_Iz_Cond</t>
  </si>
  <si>
    <t>L_Hum</t>
  </si>
  <si>
    <t>Влажность</t>
  </si>
  <si>
    <t>B_Calc_Cond</t>
  </si>
  <si>
    <t>L_Iz_Toch_Cond</t>
  </si>
  <si>
    <t>L_Iz_Recomend_Cond</t>
  </si>
  <si>
    <t>L_Q_Calc_Cond</t>
  </si>
  <si>
    <t>Расчетные тепловые потери</t>
  </si>
  <si>
    <t>L_Q_SP_Cond</t>
  </si>
  <si>
    <t>L_T_Iz_Cond</t>
  </si>
  <si>
    <t>Температура поверхности внешнего слоя</t>
  </si>
  <si>
    <t>CB_Trub_Iz_Peremerz</t>
  </si>
  <si>
    <t>L_Trub_StopMove</t>
  </si>
  <si>
    <t>B_Calc_Permerz</t>
  </si>
  <si>
    <t>L_Iz_Toch_Peremerz</t>
  </si>
  <si>
    <t>L_Iz_Recomend_Peremerz</t>
  </si>
  <si>
    <t>L_T_Iz_Peremerz</t>
  </si>
  <si>
    <t>Температура поверхности</t>
  </si>
  <si>
    <t>L_Q_SP_Peremerz</t>
  </si>
  <si>
    <t>L_Q_Calc_Peremerz</t>
  </si>
  <si>
    <t>L_T_Iz_SP_Peremerz</t>
  </si>
  <si>
    <t>Допустимые температура внешнего слоя</t>
  </si>
  <si>
    <t>ручной расчет</t>
  </si>
  <si>
    <t>CB_Trub_Iz_Man</t>
  </si>
  <si>
    <t>CB_Trub_Iz_W</t>
  </si>
  <si>
    <t>Толщина</t>
  </si>
  <si>
    <t>LB_Trub_Iz</t>
  </si>
  <si>
    <t>listbox</t>
  </si>
  <si>
    <t>Слои изоляции</t>
  </si>
  <si>
    <t>L_Trub_Iz_Add</t>
  </si>
  <si>
    <t>Добавить слой</t>
  </si>
  <si>
    <t>L_Trub_Iz_Del_Last</t>
  </si>
  <si>
    <t>Удалить слой</t>
  </si>
  <si>
    <t>L_Trub_Iz_Del</t>
  </si>
  <si>
    <t>удалить все слои</t>
  </si>
  <si>
    <t>B_Calc_Man</t>
  </si>
  <si>
    <t>рассчитать</t>
  </si>
  <si>
    <t>расчетные тепловые потери</t>
  </si>
  <si>
    <t>Т поверхности внешнего слоя</t>
  </si>
  <si>
    <t>допустимая Т</t>
  </si>
  <si>
    <t>L_Section_Name</t>
  </si>
  <si>
    <t>CB_Section</t>
  </si>
  <si>
    <t>секция</t>
  </si>
  <si>
    <t>L_SecNum</t>
  </si>
  <si>
    <t>из</t>
  </si>
  <si>
    <t>B_SecAdd</t>
  </si>
  <si>
    <t xml:space="preserve">добавить </t>
  </si>
  <si>
    <t>B_SecDel</t>
  </si>
  <si>
    <t>удалить</t>
  </si>
  <si>
    <t>B_Trub_Report</t>
  </si>
  <si>
    <t>сформировать</t>
  </si>
  <si>
    <t>CB_Plosk_Region</t>
  </si>
  <si>
    <t>CB_Plosk_Sreda</t>
  </si>
  <si>
    <t>L_Plosk_NosT</t>
  </si>
  <si>
    <t>L_Plosk_T_Sredi</t>
  </si>
  <si>
    <t>L_Plosk_WindSpeed</t>
  </si>
  <si>
    <t>CB_Plosk_Mater</t>
  </si>
  <si>
    <t>CB_Plosk_VneshPokr</t>
  </si>
  <si>
    <t>L_Plosk_Length</t>
  </si>
  <si>
    <t>L_Plosk_WWidth</t>
  </si>
  <si>
    <t>Толщина стенки</t>
  </si>
  <si>
    <t>L_Plosk_Width</t>
  </si>
  <si>
    <t>ширина</t>
  </si>
  <si>
    <t>ChB_Plosk_5000</t>
  </si>
  <si>
    <t>наработка системы</t>
  </si>
  <si>
    <t>CB_Plosk_Iz_Norm</t>
  </si>
  <si>
    <t>B_P_Calc_Norm</t>
  </si>
  <si>
    <t>L_Plosk_Iz_Toch_Norm</t>
  </si>
  <si>
    <t>L_Plosk_Iz_Recomend_Norm</t>
  </si>
  <si>
    <t>L_Plosk_Q_SP_Norm</t>
  </si>
  <si>
    <t>L_Plosk_T_Iz_SP_Norm</t>
  </si>
  <si>
    <t>L_Plosk_T_Iz_Norm</t>
  </si>
  <si>
    <t>CB_Plosk_Iz_MaxT</t>
  </si>
  <si>
    <t>B_P_Calc_MaxT</t>
  </si>
  <si>
    <t>L_Plosk_Iz_Toch_MaxT</t>
  </si>
  <si>
    <t>L_Plosk_Iz_Recomend_MaxT</t>
  </si>
  <si>
    <t>L_Plosk_T_Iz_SP_MaxT</t>
  </si>
  <si>
    <t>L_Plosk_Q_SP_MaxT</t>
  </si>
  <si>
    <t>L_Plosk_Q_Calc_MaxT</t>
  </si>
  <si>
    <t>CB_Plosk_Iz_Cond</t>
  </si>
  <si>
    <t>L_Plosk_Hum</t>
  </si>
  <si>
    <t>B_P_Calc_Cond</t>
  </si>
  <si>
    <t>L_Plosk_Iz_Toch_Cond</t>
  </si>
  <si>
    <t>L_Plosk_Iz_Recomend_Cond</t>
  </si>
  <si>
    <t>L_Plosk_Q_Calc_Cond</t>
  </si>
  <si>
    <t>L_Plosk_Q_SP_Cond</t>
  </si>
  <si>
    <t>L_Plosk_T_Iz_Cond</t>
  </si>
  <si>
    <t>CB_Plosk_Iz_Man</t>
  </si>
  <si>
    <t>CB_Plosk_Iz_W</t>
  </si>
  <si>
    <t>LB_Plosk_Iz</t>
  </si>
  <si>
    <t>B_Plosk_Iz_Add</t>
  </si>
  <si>
    <t>B_Plosk_Iz_Del_Last</t>
  </si>
  <si>
    <t>B_Plosk_Iz_Del</t>
  </si>
  <si>
    <t>B_P_Calc_Man</t>
  </si>
  <si>
    <t>L_Plosk_Q_SP_Man</t>
  </si>
  <si>
    <t>L_Plosk_Q_Calc_Man</t>
  </si>
  <si>
    <t>L_Plosk_T_Iz_Man</t>
  </si>
  <si>
    <t>L_Plosk_T_Iz_SP_Man</t>
  </si>
  <si>
    <t>L_Plosk_Section_Name</t>
  </si>
  <si>
    <t>CB_Plosk_Section</t>
  </si>
  <si>
    <t>L_Plosk_SecNum</t>
  </si>
  <si>
    <t>B_P_SecAdd</t>
  </si>
  <si>
    <t>B_P_SecDel</t>
  </si>
  <si>
    <t>B_Plosk_Report</t>
  </si>
  <si>
    <t>CB_Emk_Region</t>
  </si>
  <si>
    <t>CB_Emk_Sreda</t>
  </si>
  <si>
    <t>L_Emk_NosT</t>
  </si>
  <si>
    <t>L_Emk_T_Sredi</t>
  </si>
  <si>
    <t>L_Emk_WindSpeed</t>
  </si>
  <si>
    <t>CB_Emk_Mater</t>
  </si>
  <si>
    <t>CB_Emk_VneshPokr</t>
  </si>
  <si>
    <t>ChB_Emk_5000</t>
  </si>
  <si>
    <t>L_Emk_Height</t>
  </si>
  <si>
    <t>Высота</t>
  </si>
  <si>
    <t>L_Emk_Diam</t>
  </si>
  <si>
    <t>диаметр</t>
  </si>
  <si>
    <t>ChB_UseDnishe</t>
  </si>
  <si>
    <t>L_Emk_WWidth</t>
  </si>
  <si>
    <t>L_Emk_WPlotn</t>
  </si>
  <si>
    <t>Плотность материала</t>
  </si>
  <si>
    <t>L_Emk_WC</t>
  </si>
  <si>
    <t>Теплоемкость материала</t>
  </si>
  <si>
    <t>CB_Emk_Iz_Norm</t>
  </si>
  <si>
    <t>B_E_Calc_Norm</t>
  </si>
  <si>
    <t>L_Emk_Iz_Toch_Norm</t>
  </si>
  <si>
    <t>L_Emk_Iz_Recomend_Norm</t>
  </si>
  <si>
    <t>L_Emk_Q_SP_Norm</t>
  </si>
  <si>
    <t>L_Emk_FQ_Norm</t>
  </si>
  <si>
    <t>Полные тепловые потери</t>
  </si>
  <si>
    <t>L_Emk_T_Iz_SP_Norm</t>
  </si>
  <si>
    <t>L_Emk_T_Iz_Norm</t>
  </si>
  <si>
    <t>CB_Emk_Iz_T</t>
  </si>
  <si>
    <t>L_Emk_NosT2</t>
  </si>
  <si>
    <t>L_Emk_THran</t>
  </si>
  <si>
    <t>время хранения</t>
  </si>
  <si>
    <t>B_E_Calc_T</t>
  </si>
  <si>
    <t>L_Emk_Iz_Toch_T</t>
  </si>
  <si>
    <t>L_Emk_Iz_Recomend_T</t>
  </si>
  <si>
    <t>L_Emk_T_Iz_T</t>
  </si>
  <si>
    <t>L_Emk_Q_SP_T</t>
  </si>
  <si>
    <t>L_Emk_Q_Calc_T</t>
  </si>
  <si>
    <t>L_Emk_FQ_T</t>
  </si>
  <si>
    <t>Полные потери</t>
  </si>
  <si>
    <t>CB_Emk_Iz_MaxT</t>
  </si>
  <si>
    <t>B_E_Calc_MaxT</t>
  </si>
  <si>
    <t>L_Emk_Iz_Toch_MaxT</t>
  </si>
  <si>
    <t>L_Emk_Iz_Recomend_MaxT</t>
  </si>
  <si>
    <t>L_Emk_T_Iz_SP_MaxT</t>
  </si>
  <si>
    <t>L_Emk_FQ_MaxT</t>
  </si>
  <si>
    <t>L_Emk_Q_SP_MaxT</t>
  </si>
  <si>
    <t>L_Emk_Q_Calc_MaxT</t>
  </si>
  <si>
    <t>CB_Emk_Iz_Cond</t>
  </si>
  <si>
    <t>L_Emk_Hum</t>
  </si>
  <si>
    <t>B_E_Calc_Cond</t>
  </si>
  <si>
    <t>L_Emk_Iz_Toch_Cond</t>
  </si>
  <si>
    <t>L_Emk_Iz_Recomend_Cond</t>
  </si>
  <si>
    <t>L_Emk_FQ_Cond</t>
  </si>
  <si>
    <t>L_Emk_Q_Calc_Cond</t>
  </si>
  <si>
    <t>L_Emk_Q_SP_Cond</t>
  </si>
  <si>
    <t>L_Emk_T_Iz_Cond</t>
  </si>
  <si>
    <t>CB_Emk_Iz_Man</t>
  </si>
  <si>
    <t>CB_Emk_Iz_W</t>
  </si>
  <si>
    <t>LB_Emk_Iz</t>
  </si>
  <si>
    <t>B_Emk_Iz_Add</t>
  </si>
  <si>
    <t>B_Emk_Iz_Del_Last</t>
  </si>
  <si>
    <t>B_Emk_Iz_Del</t>
  </si>
  <si>
    <t>B_E_Calc_Man</t>
  </si>
  <si>
    <t>L_Emk_Q_SP_Man</t>
  </si>
  <si>
    <t>L_Emk_Q_Calc_Man</t>
  </si>
  <si>
    <t>L_Emk_FQ_Man</t>
  </si>
  <si>
    <t>полные потери</t>
  </si>
  <si>
    <t>L_Emk_T_Iz_Man</t>
  </si>
  <si>
    <t>L_Emk_T_Iz_SP_Man</t>
  </si>
  <si>
    <t>L_Emk_Name</t>
  </si>
  <si>
    <t>CB_Emk</t>
  </si>
  <si>
    <t>L_EmkNum</t>
  </si>
  <si>
    <t>B_EmkAdd</t>
  </si>
  <si>
    <t>B_EmkDel</t>
  </si>
  <si>
    <t>B_EmkReport</t>
  </si>
  <si>
    <t>Труба</t>
  </si>
  <si>
    <t>Внешний диаметр:</t>
  </si>
  <si>
    <t>Длина:</t>
  </si>
  <si>
    <t>Учитывать дополнительные потери в СП:</t>
  </si>
  <si>
    <t>НЕТ</t>
  </si>
  <si>
    <t>Учесть потери через опорные кольца:</t>
  </si>
  <si>
    <t>Способ крепления:</t>
  </si>
  <si>
    <t>Подвижные опоры</t>
  </si>
  <si>
    <t>Направление секции:</t>
  </si>
  <si>
    <t>Горизонтальное</t>
  </si>
  <si>
    <t>Наименование изоляции:</t>
  </si>
  <si>
    <t>Прокладка на открытом воздухе с положительной температурой теплоносителя наработкой более 5000 часов трубопровода D&lt;=1.4м (Таблица 2):</t>
  </si>
  <si>
    <t>Определение значения коэффициента дополнительных потерь для трубопроводов согласно таблице В.1 и наличию опорных колец</t>
  </si>
  <si>
    <t>Диаметр трубы меньше 1.4м, один слой, расчёт теплопотерь будет проводиться по формуле В.3</t>
  </si>
  <si>
    <t>Учет коэффициента дополнительных потерь для трубопроводов согласно таблице В.1 и наличию опорных колец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</si>
  <si>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 xml:space="preserve"> до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</si>
  <si>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 xml:space="preserve"> после</t>
    </r>
  </si>
  <si>
    <t>Контрольные вычисления:</t>
  </si>
  <si>
    <t>Металлический трубопровод на подвижных опорах, условным проходом до 150 мм.: K = 1,2</t>
  </si>
  <si>
    <t>Закладки</t>
  </si>
  <si>
    <t>MP_Emk_Methods</t>
  </si>
  <si>
    <t>multipage</t>
  </si>
  <si>
    <t>MP_Plosk_Methods</t>
  </si>
  <si>
    <t>MP_Trub_Methods</t>
  </si>
  <si>
    <t>21,3 мм</t>
  </si>
  <si>
    <t>3,15 мм</t>
  </si>
  <si>
    <t>1,0 м</t>
  </si>
  <si>
    <t>имя файла</t>
  </si>
  <si>
    <t>result</t>
  </si>
  <si>
    <t>Макросы</t>
  </si>
  <si>
    <t>Trub_Calc_Norm</t>
  </si>
  <si>
    <t>Trub_Calc_T</t>
  </si>
  <si>
    <t>Trub_Calc_MaxT</t>
  </si>
  <si>
    <t>Trub_Calc_Cond</t>
  </si>
  <si>
    <t>Trub_Calc_Permerz</t>
  </si>
  <si>
    <t>Trub_Calc_Man</t>
  </si>
  <si>
    <t>Plosk_Calc_Norm</t>
  </si>
  <si>
    <t>Plosk_Calc_MaxT</t>
  </si>
  <si>
    <t>Plosk_Calc_Cond</t>
  </si>
  <si>
    <t>Plosk_Calc_Man</t>
  </si>
  <si>
    <t>Emk_Calc_Norm</t>
  </si>
  <si>
    <t>Emk_Calc_T</t>
  </si>
  <si>
    <t>Emk_Calc_MaxT</t>
  </si>
  <si>
    <t>Emk_Calc_Cond</t>
  </si>
  <si>
    <t>Emk_Calc_Man</t>
  </si>
  <si>
    <t>CopyProtocol</t>
  </si>
  <si>
    <t>zzzzz</t>
  </si>
  <si>
    <t>1;1;2;3</t>
  </si>
  <si>
    <t>Fill_Data_Form_Trub</t>
  </si>
  <si>
    <t>Копировать протокол в отдельный файл</t>
  </si>
  <si>
    <t>Наполнить данные из Trub в форму</t>
  </si>
  <si>
    <t>Fill_Data_Form_Emk</t>
  </si>
  <si>
    <t>Fill_Data_Form_Plosk</t>
  </si>
  <si>
    <t>Наполнить данные из Plosk в форму</t>
  </si>
  <si>
    <t>Наполнить данные из Emk в форму</t>
  </si>
  <si>
    <t>В.2.2 Расчет толщины изоляции по заданному снижению (повышению) температуры вещества, транспортируемого трубопроводами</t>
  </si>
  <si>
    <t>Конечная температура носителя:</t>
  </si>
  <si>
    <t>333,0 K</t>
  </si>
  <si>
    <t>Удельный массовый расход:</t>
  </si>
  <si>
    <t>50,0 кг/ч</t>
  </si>
  <si>
    <r>
      <t>Значение 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 xml:space="preserve"> по таблице В.3: 0,12 м·К/Вт</t>
    </r>
  </si>
  <si>
    <t>При текущем соотношении температур изоляции не требуется!</t>
  </si>
  <si>
    <t>Для найденной расчётной толщины  мм изоляции PAROC Pro Wired Mat 80  наименьшая подходящая фабричная толщина составляет 30 мм</t>
  </si>
  <si>
    <t>При указанных параметрах в изоляции нет необходимости.</t>
  </si>
  <si>
    <t>error</t>
  </si>
  <si>
    <t>373,0 K</t>
  </si>
  <si>
    <t>10,0 м/c</t>
  </si>
  <si>
    <t>293,0 K</t>
  </si>
  <si>
    <r>
      <t>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'-t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''-t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)=(373,0-293,0)/(333,0-293,0)=2,0</t>
    </r>
  </si>
  <si>
    <r>
      <t>(t</t>
    </r>
    <r>
      <rPr>
        <b/>
        <vertAlign val="subscript"/>
        <sz val="11"/>
        <color theme="1"/>
        <rFont val="Calibri"/>
        <family val="2"/>
        <charset val="204"/>
        <scheme val="minor"/>
      </rPr>
      <t>в</t>
    </r>
    <r>
      <rPr>
        <b/>
        <sz val="11"/>
        <color theme="1"/>
        <rFont val="Calibri"/>
        <family val="2"/>
        <charset val="204"/>
        <scheme val="minor"/>
      </rPr>
      <t>'-t</t>
    </r>
    <r>
      <rPr>
        <b/>
        <vertAlign val="subscript"/>
        <sz val="11"/>
        <color theme="1"/>
        <rFont val="Calibri"/>
        <family val="2"/>
        <charset val="204"/>
        <scheme val="minor"/>
      </rPr>
      <t>н</t>
    </r>
    <r>
      <rPr>
        <b/>
        <sz val="11"/>
        <color theme="1"/>
        <rFont val="Calibri"/>
        <family val="2"/>
        <charset val="204"/>
        <scheme val="minor"/>
      </rPr>
      <t>)/(t</t>
    </r>
    <r>
      <rPr>
        <b/>
        <vertAlign val="subscript"/>
        <sz val="11"/>
        <color theme="1"/>
        <rFont val="Calibri"/>
        <family val="2"/>
        <charset val="204"/>
        <scheme val="minor"/>
      </rPr>
      <t>в</t>
    </r>
    <r>
      <rPr>
        <b/>
        <sz val="11"/>
        <color theme="1"/>
        <rFont val="Calibri"/>
        <family val="2"/>
        <charset val="204"/>
        <scheme val="minor"/>
      </rPr>
      <t>''-t</t>
    </r>
    <r>
      <rPr>
        <b/>
        <vertAlign val="subscript"/>
        <sz val="11"/>
        <color theme="1"/>
        <rFont val="Calibri"/>
        <family val="2"/>
        <charset val="204"/>
        <scheme val="minor"/>
      </rPr>
      <t>н</t>
    </r>
    <r>
      <rPr>
        <b/>
        <sz val="11"/>
        <color theme="1"/>
        <rFont val="Calibri"/>
        <family val="2"/>
        <charset val="204"/>
        <scheme val="minor"/>
      </rPr>
      <t>)&gt;=2, расчёт по формуле В.26: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</si>
  <si>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=3,6·K·l/(G·C·ln(t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'-t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''-t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))=3,6*1,2*1,0/(50,0*4,187*Ln(2,0))=0,0298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</si>
  <si>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 xml:space="preserve"> = 17,0 Вт/м</t>
    </r>
  </si>
  <si>
    <t>Для изоляции PAROC Pro Wired Mat 80  коэф. теплопроводности λ при температуре 333,0 K составляет 0,0412 Вт/(м·К)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</si>
  <si>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=1/(2πλ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) * ln(d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)=1/(2*3,1416*0,0412) * ln(0,0813/0,0213)=5,1742 м·К/Вт</t>
    </r>
  </si>
  <si>
    <r>
      <t>при скорости ветра 10,0 м/с α=26,0  Вт/(м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 xml:space="preserve"> К)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</si>
  <si>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=1/(π*d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ст</t>
    </r>
    <r>
      <rPr>
        <sz val="11"/>
        <color theme="1"/>
        <rFont val="Calibri"/>
        <family val="2"/>
        <charset val="204"/>
        <scheme val="minor"/>
      </rPr>
      <t>*α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 = 1/(3,1416*0,0813*26,0)=0,1506 м·К/Вт</t>
    </r>
  </si>
  <si>
    <r>
      <t>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=5,3248 м·К/Вт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</si>
  <si>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=1,0*(373,0-293,0)/5,3248=15,024 Вт/м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</si>
  <si>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vertAlign val="super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charset val="204"/>
        <scheme val="minor"/>
      </rPr>
      <t>=293,0+15,024*0,1506=295,2624 К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</si>
</sst>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charset val="204"/>
      <scheme val="minor"/>
    </font>
    <font>
      <b/>
      <u/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b/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b/>
      <sz val="12"/>
      <color indexed="8"/>
      <name val="Symbol"/>
      <family val="1"/>
      <charset val="2"/>
    </font>
    <font>
      <i/>
      <sz val="11"/>
      <color indexed="8"/>
      <name val="Calibri"/>
      <family val="2"/>
      <charset val="204"/>
    </font>
    <font>
      <vertAlign val="subscript"/>
      <sz val="11"/>
      <color indexed="8"/>
      <name val="Calibri"/>
      <family val="2"/>
      <charset val="204"/>
    </font>
    <font>
      <sz val="11"/>
      <color indexed="8"/>
      <name val="Symbol"/>
      <family val="1"/>
      <charset val="2"/>
    </font>
    <font>
      <b/>
      <sz val="11"/>
      <color indexed="8"/>
      <name val="Calibri"/>
      <family val="2"/>
      <charset val="204"/>
    </font>
    <font>
      <sz val="10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  <font>
      <vertAlign val="superscript"/>
      <sz val="10"/>
      <color indexed="8"/>
      <name val="Times New Roman"/>
      <family val="1"/>
      <charset val="204"/>
    </font>
    <font>
      <sz val="8"/>
      <name val="Calibri"/>
      <family val="2"/>
      <charset val="204"/>
    </font>
    <font>
      <sz val="9.4"/>
      <color rgb="FF3B3B3B"/>
      <name val="Arial"/>
      <family val="2"/>
      <charset val="204"/>
    </font>
    <font>
      <b/>
      <sz val="9.4"/>
      <color rgb="FF3B3B3B"/>
      <name val="Arial"/>
      <family val="2"/>
      <charset val="204"/>
    </font>
    <font>
      <i/>
      <sz val="9.4"/>
      <color rgb="FF3B3B3B"/>
      <name val="Arial"/>
      <family val="2"/>
      <charset val="204"/>
    </font>
    <font>
      <sz val="11"/>
      <color theme="1"/>
      <name val="Calibri"/>
      <family val="2"/>
      <charset val="204"/>
    </font>
    <font>
      <b/>
      <u/>
      <vertAlign val="superscript"/>
      <sz val="11"/>
      <color indexed="8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vertAlign val="subscript"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3" fillId="0" borderId="0" xfId="0" applyFont="1"/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 wrapText="1"/>
    </xf>
    <xf numFmtId="0" fontId="11" fillId="0" borderId="9" xfId="0" applyFont="1" applyBorder="1" applyAlignment="1">
      <alignment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6" xfId="0" applyFont="1" applyBorder="1" applyAlignment="1">
      <alignment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vertical="center" wrapText="1"/>
    </xf>
    <xf numFmtId="0" fontId="11" fillId="0" borderId="13" xfId="0" applyFont="1" applyBorder="1" applyAlignment="1">
      <alignment horizontal="center" vertical="center" wrapText="1"/>
    </xf>
    <xf numFmtId="0" fontId="0" fillId="0" borderId="0" xfId="0" applyAlignment="1">
      <alignment vertical="top"/>
    </xf>
    <xf numFmtId="0" fontId="1" fillId="0" borderId="0" xfId="0" applyFont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3" borderId="1" xfId="0" applyFill="1" applyBorder="1"/>
    <xf numFmtId="0" fontId="0" fillId="0" borderId="0" xfId="0" applyBorder="1" applyAlignment="1">
      <alignment horizontal="center"/>
    </xf>
    <xf numFmtId="0" fontId="14" fillId="4" borderId="1" xfId="0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left" vertical="center" wrapText="1" indent="1"/>
    </xf>
    <xf numFmtId="0" fontId="14" fillId="3" borderId="20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left" vertical="center" wrapText="1" indent="1"/>
    </xf>
    <xf numFmtId="0" fontId="0" fillId="3" borderId="0" xfId="0" applyFill="1" applyAlignment="1">
      <alignment horizontal="center"/>
    </xf>
    <xf numFmtId="0" fontId="14" fillId="4" borderId="0" xfId="0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4" fillId="4" borderId="1" xfId="0" applyNumberFormat="1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left" vertical="center" wrapText="1" indent="1"/>
    </xf>
    <xf numFmtId="0" fontId="17" fillId="0" borderId="0" xfId="0" applyFont="1"/>
    <xf numFmtId="0" fontId="0" fillId="0" borderId="21" xfId="0" applyFill="1" applyBorder="1"/>
    <xf numFmtId="0" fontId="19" fillId="0" borderId="21" xfId="0" applyFont="1" applyFill="1" applyBorder="1"/>
    <xf numFmtId="0" fontId="20" fillId="0" borderId="21" xfId="0" applyFont="1" applyFill="1" applyBorder="1"/>
    <xf numFmtId="0" fontId="0" fillId="3" borderId="2" xfId="0" applyFill="1" applyBorder="1"/>
    <xf numFmtId="0" fontId="0" fillId="5" borderId="0" xfId="0" applyFill="1"/>
    <xf numFmtId="0" fontId="0" fillId="5" borderId="0" xfId="0" applyFill="1" applyBorder="1" applyAlignment="1">
      <alignment horizontal="center"/>
    </xf>
    <xf numFmtId="0" fontId="14" fillId="5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20" xfId="0" applyBorder="1"/>
    <xf numFmtId="0" fontId="0" fillId="0" borderId="20" xfId="0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0" xfId="0" applyFill="1" applyBorder="1" applyAlignment="1">
      <alignment horizontal="center" wrapText="1"/>
    </xf>
    <xf numFmtId="0" fontId="0" fillId="0" borderId="22" xfId="0" applyBorder="1"/>
    <xf numFmtId="0" fontId="0" fillId="0" borderId="22" xfId="0" applyFill="1" applyBorder="1"/>
    <xf numFmtId="0" fontId="0" fillId="0" borderId="19" xfId="0" applyBorder="1"/>
    <xf numFmtId="0" fontId="0" fillId="0" borderId="23" xfId="0" applyBorder="1" applyAlignment="1">
      <alignment horizontal="center" wrapText="1"/>
    </xf>
    <xf numFmtId="0" fontId="0" fillId="0" borderId="18" xfId="0" applyBorder="1"/>
    <xf numFmtId="0" fontId="9" fillId="0" borderId="18" xfId="0" applyFont="1" applyBorder="1"/>
    <xf numFmtId="0" fontId="0" fillId="0" borderId="5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3" xfId="0" applyFill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/>
    <xf numFmtId="0" fontId="0" fillId="0" borderId="2" xfId="0" applyFill="1" applyBorder="1"/>
    <xf numFmtId="0" fontId="0" fillId="0" borderId="23" xfId="0" applyFill="1" applyBorder="1"/>
    <xf numFmtId="0" fontId="0" fillId="0" borderId="20" xfId="0" applyFill="1" applyBorder="1"/>
    <xf numFmtId="0" fontId="19" fillId="0" borderId="19" xfId="0" applyFont="1" applyBorder="1"/>
    <xf numFmtId="0" fontId="14" fillId="4" borderId="1" xfId="0" applyFont="1" applyFill="1" applyBorder="1" applyAlignment="1">
      <alignment horizontal="left" vertical="center" wrapText="1" indent="1"/>
    </xf>
    <xf numFmtId="0" fontId="14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2" borderId="12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0" fillId="2" borderId="14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2" borderId="8" xfId="0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 wrapText="1"/>
    </xf>
    <xf numFmtId="0" fontId="0" fillId="2" borderId="15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333375</xdr:colOff>
      <xdr:row>0</xdr:row>
      <xdr:rowOff>47625</xdr:rowOff>
    </xdr:from>
    <xdr:to>
      <xdr:col>4</xdr:col>
      <xdr:colOff>200025</xdr:colOff>
      <xdr:row>1</xdr:row>
      <xdr:rowOff>161925</xdr:rowOff>
    </xdr:to>
    <xdr:pic>
      <xdr:nvPicPr>
        <xdr:cNvPr id="1034" name="Рисунок 1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2975" y="47625"/>
          <a:ext cx="16954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4</xdr:col>
          <xdr:colOff>133350</xdr:colOff>
          <xdr:row>5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труб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3</xdr:row>
          <xdr:rowOff>28575</xdr:rowOff>
        </xdr:from>
        <xdr:to>
          <xdr:col>7</xdr:col>
          <xdr:colOff>561975</xdr:colOff>
          <xdr:row>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плоскостей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3</xdr:row>
          <xdr:rowOff>38100</xdr:rowOff>
        </xdr:from>
        <xdr:to>
          <xdr:col>11</xdr:col>
          <xdr:colOff>390525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ёмкостей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W41"/>
  <sheetViews>
    <sheetView zoomScale="90" zoomScaleNormal="90" workbookViewId="0">
      <selection activeCell="A27" sqref="A27"/>
    </sheetView>
  </sheetViews>
  <sheetFormatPr defaultRowHeight="15" x14ac:dyDescent="0.25"/>
  <cols>
    <col min="1" max="1" width="55" style="9" customWidth="1"/>
    <col min="2" max="2" width="9.140625" style="68"/>
    <col min="3" max="4" width="19.5703125" style="48" customWidth="1"/>
    <col min="5" max="5" width="12.5703125" style="53" customWidth="1"/>
    <col min="6" max="6" width="18.5703125" style="9" bestFit="1" customWidth="1"/>
    <col min="7" max="8" width="12.5703125" style="9" customWidth="1"/>
    <col min="9" max="10" width="9.140625" style="9"/>
    <col min="11" max="11" width="9.140625" style="53"/>
    <col min="12" max="16384" width="9.140625" style="9"/>
  </cols>
  <sheetData>
    <row r="1" spans="1:23" ht="30.75" thickBot="1" x14ac:dyDescent="0.3">
      <c r="A1" s="69" t="s">
        <v>1012</v>
      </c>
      <c r="B1" s="67" t="s">
        <v>133</v>
      </c>
      <c r="C1" s="56" t="s">
        <v>21</v>
      </c>
      <c r="D1" s="56" t="s">
        <v>22</v>
      </c>
      <c r="E1" s="57">
        <v>10</v>
      </c>
      <c r="F1" s="55">
        <v>25</v>
      </c>
      <c r="G1" s="55">
        <v>125</v>
      </c>
      <c r="H1" s="55">
        <v>300</v>
      </c>
      <c r="I1" s="55">
        <v>400</v>
      </c>
      <c r="J1" s="55">
        <v>500</v>
      </c>
      <c r="K1" s="58" t="s">
        <v>20</v>
      </c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</row>
    <row r="2" spans="1:23" x14ac:dyDescent="0.25">
      <c r="A2" s="9" t="s">
        <v>23</v>
      </c>
      <c r="B2" s="68">
        <v>640</v>
      </c>
      <c r="C2" s="50" t="s">
        <v>24</v>
      </c>
      <c r="D2" s="49">
        <v>2</v>
      </c>
      <c r="E2" s="53">
        <v>3.5000000000000003E-2</v>
      </c>
      <c r="F2" s="9">
        <v>3.6999999999999998E-2</v>
      </c>
      <c r="G2" s="9">
        <v>4.9000000000000002E-2</v>
      </c>
      <c r="H2" s="47">
        <v>0.08</v>
      </c>
      <c r="K2" s="53">
        <v>30</v>
      </c>
      <c r="L2" s="9">
        <v>40</v>
      </c>
      <c r="M2" s="9">
        <v>50</v>
      </c>
      <c r="N2" s="9">
        <v>60</v>
      </c>
      <c r="O2" s="9">
        <v>70</v>
      </c>
      <c r="P2" s="9">
        <v>80</v>
      </c>
      <c r="Q2" s="9">
        <v>100</v>
      </c>
      <c r="R2" s="9">
        <v>120</v>
      </c>
    </row>
    <row r="3" spans="1:23" x14ac:dyDescent="0.25">
      <c r="A3" s="9" t="s">
        <v>25</v>
      </c>
      <c r="B3" s="68">
        <v>660</v>
      </c>
      <c r="C3" s="50" t="s">
        <v>24</v>
      </c>
      <c r="D3" s="49">
        <v>2</v>
      </c>
      <c r="E3" s="53">
        <v>3.4000000000000002E-2</v>
      </c>
      <c r="F3" s="9">
        <v>3.5999999999999997E-2</v>
      </c>
      <c r="G3" s="9">
        <v>4.8000000000000001E-2</v>
      </c>
      <c r="H3" s="47">
        <v>7.5999999999999998E-2</v>
      </c>
      <c r="K3" s="53">
        <v>30</v>
      </c>
      <c r="L3" s="9">
        <v>40</v>
      </c>
      <c r="M3" s="9">
        <v>50</v>
      </c>
      <c r="N3" s="9">
        <v>60</v>
      </c>
      <c r="O3" s="9">
        <v>70</v>
      </c>
      <c r="P3" s="9">
        <v>80</v>
      </c>
      <c r="Q3" s="9">
        <v>90</v>
      </c>
      <c r="R3" s="9">
        <v>100</v>
      </c>
      <c r="S3" s="9">
        <v>120</v>
      </c>
    </row>
    <row r="4" spans="1:23" x14ac:dyDescent="0.25">
      <c r="A4" s="9" t="s">
        <v>26</v>
      </c>
      <c r="B4" s="68">
        <v>680</v>
      </c>
      <c r="C4" s="50" t="s">
        <v>24</v>
      </c>
      <c r="D4" s="49">
        <v>2</v>
      </c>
      <c r="E4" s="53">
        <v>3.4000000000000002E-2</v>
      </c>
      <c r="F4" s="47">
        <v>3.5999999999999997E-2</v>
      </c>
      <c r="G4" s="9">
        <v>4.4999999999999998E-2</v>
      </c>
      <c r="H4" s="9">
        <v>7.2999999999999995E-2</v>
      </c>
      <c r="K4" s="53">
        <v>30</v>
      </c>
      <c r="L4" s="9">
        <v>40</v>
      </c>
      <c r="M4" s="9">
        <v>50</v>
      </c>
      <c r="N4" s="9">
        <v>60</v>
      </c>
      <c r="O4" s="9">
        <v>70</v>
      </c>
      <c r="P4" s="9">
        <v>80</v>
      </c>
      <c r="Q4" s="9">
        <v>100</v>
      </c>
    </row>
    <row r="5" spans="1:23" x14ac:dyDescent="0.25">
      <c r="A5" s="47" t="s">
        <v>27</v>
      </c>
      <c r="B5" s="68">
        <v>640</v>
      </c>
      <c r="C5" s="51" t="s">
        <v>24</v>
      </c>
      <c r="D5" s="52">
        <v>3</v>
      </c>
      <c r="E5" s="53">
        <v>3.4000000000000002E-2</v>
      </c>
      <c r="F5" s="9">
        <v>3.6999999999999998E-2</v>
      </c>
      <c r="G5" s="9">
        <v>4.7E-2</v>
      </c>
      <c r="H5" s="9">
        <v>8.3000000000000004E-2</v>
      </c>
      <c r="I5" s="9">
        <v>0.11600000000000001</v>
      </c>
      <c r="J5" s="47">
        <v>0.157</v>
      </c>
      <c r="K5" s="53">
        <v>20</v>
      </c>
      <c r="L5" s="9">
        <v>30</v>
      </c>
      <c r="M5" s="9">
        <v>40</v>
      </c>
      <c r="N5" s="9">
        <v>50</v>
      </c>
      <c r="O5" s="9">
        <v>60</v>
      </c>
      <c r="P5" s="9">
        <v>70</v>
      </c>
      <c r="Q5" s="9">
        <v>80</v>
      </c>
      <c r="R5" s="9">
        <v>100</v>
      </c>
      <c r="S5" s="9">
        <v>120</v>
      </c>
      <c r="T5" s="9">
        <v>140</v>
      </c>
      <c r="U5" s="9">
        <v>160</v>
      </c>
      <c r="V5" s="9">
        <v>200</v>
      </c>
    </row>
    <row r="6" spans="1:23" x14ac:dyDescent="0.25">
      <c r="A6" s="47" t="s">
        <v>28</v>
      </c>
      <c r="B6" s="68">
        <v>680</v>
      </c>
      <c r="C6" s="51" t="s">
        <v>24</v>
      </c>
      <c r="D6" s="52">
        <v>3</v>
      </c>
      <c r="E6" s="53">
        <v>3.6999999999999998E-2</v>
      </c>
      <c r="F6" s="9">
        <v>3.9E-2</v>
      </c>
      <c r="G6" s="9">
        <v>4.5999999999999999E-2</v>
      </c>
      <c r="H6" s="9">
        <v>7.6999999999999999E-2</v>
      </c>
      <c r="I6" s="9">
        <v>0.104</v>
      </c>
      <c r="J6" s="47">
        <v>0.13800000000000001</v>
      </c>
      <c r="K6" s="53">
        <v>20</v>
      </c>
      <c r="L6" s="9">
        <v>30</v>
      </c>
      <c r="M6" s="9">
        <v>40</v>
      </c>
      <c r="N6" s="9">
        <v>50</v>
      </c>
      <c r="O6" s="9">
        <v>60</v>
      </c>
      <c r="P6" s="9">
        <v>80</v>
      </c>
      <c r="Q6" s="9">
        <v>100</v>
      </c>
      <c r="R6" s="9">
        <v>120</v>
      </c>
      <c r="S6" s="9">
        <v>140</v>
      </c>
      <c r="T6" s="9">
        <v>160</v>
      </c>
      <c r="U6" s="9">
        <v>200</v>
      </c>
    </row>
    <row r="7" spans="1:23" x14ac:dyDescent="0.25">
      <c r="A7" s="47" t="s">
        <v>29</v>
      </c>
      <c r="B7" s="68">
        <v>250</v>
      </c>
      <c r="C7" s="51" t="s">
        <v>24</v>
      </c>
      <c r="D7" s="52">
        <v>3</v>
      </c>
      <c r="E7" s="54">
        <v>3.4000000000000002E-2</v>
      </c>
      <c r="F7" s="47">
        <v>3.6999999999999998E-2</v>
      </c>
      <c r="G7" s="47">
        <v>4.7E-2</v>
      </c>
      <c r="K7" s="53">
        <v>20</v>
      </c>
      <c r="L7" s="9">
        <v>30</v>
      </c>
      <c r="M7" s="9">
        <v>40</v>
      </c>
      <c r="N7" s="9">
        <v>50</v>
      </c>
      <c r="O7" s="9">
        <v>60</v>
      </c>
      <c r="P7" s="9">
        <v>80</v>
      </c>
      <c r="Q7" s="9">
        <v>100</v>
      </c>
    </row>
    <row r="8" spans="1:23" x14ac:dyDescent="0.25">
      <c r="A8" s="9" t="s">
        <v>30</v>
      </c>
      <c r="B8" s="68">
        <v>400</v>
      </c>
      <c r="C8" s="50" t="s">
        <v>41</v>
      </c>
      <c r="D8" s="49">
        <v>1</v>
      </c>
      <c r="E8" s="53">
        <v>3.4000000000000002E-2</v>
      </c>
      <c r="F8" s="9">
        <v>3.6999999999999998E-2</v>
      </c>
      <c r="G8" s="9">
        <v>5.2999999999999999E-2</v>
      </c>
      <c r="K8" s="53">
        <v>30</v>
      </c>
      <c r="L8" s="9">
        <v>50</v>
      </c>
      <c r="M8" s="9">
        <v>60</v>
      </c>
      <c r="N8" s="9">
        <v>80</v>
      </c>
      <c r="O8" s="9">
        <v>100</v>
      </c>
    </row>
    <row r="9" spans="1:23" x14ac:dyDescent="0.25">
      <c r="A9" s="9" t="s">
        <v>31</v>
      </c>
      <c r="B9" s="68">
        <v>250</v>
      </c>
      <c r="C9" s="50" t="s">
        <v>24</v>
      </c>
      <c r="D9" s="49">
        <v>5</v>
      </c>
      <c r="E9" s="53">
        <v>3.9E-2</v>
      </c>
      <c r="F9" s="9">
        <v>4.2000000000000003E-2</v>
      </c>
      <c r="G9" s="9">
        <v>6.2E-2</v>
      </c>
      <c r="K9" s="53">
        <v>20</v>
      </c>
      <c r="L9" s="9">
        <v>30</v>
      </c>
      <c r="M9" s="9">
        <v>40</v>
      </c>
      <c r="N9" s="9">
        <v>50</v>
      </c>
      <c r="O9" s="9">
        <v>60</v>
      </c>
      <c r="P9" s="9">
        <v>70</v>
      </c>
      <c r="Q9" s="9">
        <v>80</v>
      </c>
      <c r="R9" s="9">
        <v>100</v>
      </c>
    </row>
    <row r="10" spans="1:23" x14ac:dyDescent="0.25">
      <c r="A10" s="9" t="s">
        <v>32</v>
      </c>
      <c r="B10" s="68">
        <v>250</v>
      </c>
      <c r="C10" s="50" t="s">
        <v>24</v>
      </c>
      <c r="D10" s="49">
        <v>5</v>
      </c>
      <c r="E10" s="53">
        <v>3.9E-2</v>
      </c>
      <c r="F10" s="9">
        <v>4.1000000000000002E-2</v>
      </c>
      <c r="G10" s="47">
        <v>5.7000000000000002E-2</v>
      </c>
      <c r="K10" s="53">
        <v>20</v>
      </c>
      <c r="L10" s="9">
        <v>30</v>
      </c>
      <c r="M10" s="9">
        <v>40</v>
      </c>
      <c r="N10" s="9">
        <v>50</v>
      </c>
      <c r="O10" s="9">
        <v>60</v>
      </c>
      <c r="P10" s="9">
        <v>80</v>
      </c>
      <c r="Q10" s="9">
        <v>100</v>
      </c>
    </row>
    <row r="11" spans="1:23" x14ac:dyDescent="0.25">
      <c r="A11" s="9" t="s">
        <v>33</v>
      </c>
      <c r="B11" s="68">
        <v>640</v>
      </c>
      <c r="C11" s="50" t="s">
        <v>41</v>
      </c>
      <c r="D11" s="49">
        <v>4</v>
      </c>
      <c r="E11" s="54">
        <v>3.5000000000000003E-2</v>
      </c>
      <c r="F11" s="47">
        <v>3.6999999999999998E-2</v>
      </c>
      <c r="G11" s="47">
        <v>4.9000000000000002E-2</v>
      </c>
      <c r="K11" s="53">
        <v>30</v>
      </c>
      <c r="L11" s="9">
        <v>40</v>
      </c>
      <c r="M11" s="9">
        <v>50</v>
      </c>
      <c r="N11" s="9">
        <v>60</v>
      </c>
      <c r="O11" s="9">
        <v>70</v>
      </c>
      <c r="P11" s="9">
        <v>80</v>
      </c>
      <c r="Q11" s="9">
        <v>100</v>
      </c>
      <c r="R11" s="9">
        <v>120</v>
      </c>
    </row>
    <row r="12" spans="1:23" x14ac:dyDescent="0.25">
      <c r="A12" s="9" t="s">
        <v>34</v>
      </c>
      <c r="B12" s="68">
        <v>250</v>
      </c>
      <c r="C12" s="50" t="s">
        <v>24</v>
      </c>
      <c r="D12" s="49">
        <v>4</v>
      </c>
      <c r="E12" s="53">
        <v>3.4000000000000002E-2</v>
      </c>
      <c r="F12" s="47">
        <v>3.5999999999999997E-2</v>
      </c>
      <c r="G12" s="47">
        <v>4.8000000000000001E-2</v>
      </c>
      <c r="K12" s="53">
        <v>30</v>
      </c>
      <c r="L12" s="9">
        <v>40</v>
      </c>
      <c r="M12" s="9">
        <v>50</v>
      </c>
      <c r="N12" s="9">
        <v>60</v>
      </c>
      <c r="O12" s="9">
        <v>70</v>
      </c>
      <c r="P12" s="9">
        <v>80</v>
      </c>
      <c r="Q12" s="9">
        <v>90</v>
      </c>
      <c r="R12" s="9">
        <v>100</v>
      </c>
      <c r="S12" s="9">
        <v>110</v>
      </c>
      <c r="T12" s="9">
        <v>120</v>
      </c>
    </row>
    <row r="13" spans="1:23" x14ac:dyDescent="0.25">
      <c r="A13" s="9" t="s">
        <v>1007</v>
      </c>
      <c r="B13" s="68">
        <v>250</v>
      </c>
      <c r="C13" s="50" t="s">
        <v>41</v>
      </c>
      <c r="D13" s="49">
        <v>4</v>
      </c>
      <c r="E13" s="53">
        <v>3.4000000000000002E-2</v>
      </c>
      <c r="F13" s="47">
        <v>3.5999999999999997E-2</v>
      </c>
      <c r="G13" s="9">
        <v>4.4999999999999998E-2</v>
      </c>
      <c r="K13" s="53">
        <v>30</v>
      </c>
      <c r="L13" s="9">
        <v>40</v>
      </c>
      <c r="M13" s="9">
        <v>50</v>
      </c>
      <c r="N13" s="9">
        <v>60</v>
      </c>
      <c r="O13" s="9">
        <v>70</v>
      </c>
      <c r="P13" s="9">
        <v>80</v>
      </c>
      <c r="Q13" s="9">
        <v>100</v>
      </c>
    </row>
    <row r="14" spans="1:23" x14ac:dyDescent="0.25">
      <c r="A14" s="9" t="s">
        <v>36</v>
      </c>
      <c r="B14" s="68">
        <v>250</v>
      </c>
      <c r="C14" s="50" t="s">
        <v>24</v>
      </c>
      <c r="D14" s="49">
        <v>5</v>
      </c>
      <c r="E14" s="53">
        <v>3.4000000000000002E-2</v>
      </c>
      <c r="F14" s="9">
        <v>3.6999999999999998E-2</v>
      </c>
      <c r="G14" s="9">
        <v>5.2999999999999999E-2</v>
      </c>
      <c r="K14" s="53">
        <v>30</v>
      </c>
      <c r="L14" s="9">
        <v>40</v>
      </c>
      <c r="M14" s="9">
        <v>50</v>
      </c>
      <c r="N14" s="9">
        <v>60</v>
      </c>
      <c r="O14" s="9">
        <v>70</v>
      </c>
      <c r="P14" s="9">
        <v>80</v>
      </c>
      <c r="Q14" s="9">
        <v>100</v>
      </c>
      <c r="R14" s="9">
        <v>120</v>
      </c>
    </row>
    <row r="15" spans="1:23" x14ac:dyDescent="0.25">
      <c r="A15" s="9" t="s">
        <v>37</v>
      </c>
      <c r="B15" s="68">
        <v>750</v>
      </c>
      <c r="C15" s="50" t="s">
        <v>41</v>
      </c>
      <c r="D15" s="49">
        <v>4</v>
      </c>
      <c r="E15" s="53">
        <v>3.4000000000000002E-2</v>
      </c>
      <c r="F15" s="9">
        <v>3.6999999999999998E-2</v>
      </c>
      <c r="G15" s="9">
        <v>5.2999999999999999E-2</v>
      </c>
      <c r="K15" s="53">
        <v>50</v>
      </c>
      <c r="L15" s="9">
        <v>100</v>
      </c>
    </row>
    <row r="16" spans="1:23" x14ac:dyDescent="0.25">
      <c r="A16" s="9" t="s">
        <v>38</v>
      </c>
      <c r="B16" s="68">
        <v>750</v>
      </c>
      <c r="C16" s="50" t="s">
        <v>41</v>
      </c>
      <c r="D16" s="49">
        <v>1</v>
      </c>
      <c r="E16" s="54">
        <v>3.5000000000000003E-2</v>
      </c>
      <c r="F16" s="47">
        <v>3.7999999999999999E-2</v>
      </c>
      <c r="G16" s="47">
        <v>0.05</v>
      </c>
      <c r="H16" s="47">
        <v>9.2999999999999999E-2</v>
      </c>
      <c r="K16" s="53">
        <v>50</v>
      </c>
    </row>
    <row r="17" spans="1:22" x14ac:dyDescent="0.25">
      <c r="A17" s="9" t="s">
        <v>39</v>
      </c>
      <c r="B17" s="68">
        <v>750</v>
      </c>
      <c r="C17" s="50" t="s">
        <v>41</v>
      </c>
      <c r="D17" s="49">
        <v>1</v>
      </c>
      <c r="E17" s="54">
        <v>3.5000000000000003E-2</v>
      </c>
      <c r="F17" s="9">
        <v>3.5999999999999997E-2</v>
      </c>
      <c r="G17" s="47">
        <v>5.1999999999999998E-2</v>
      </c>
      <c r="H17" s="47">
        <v>7.1999999999999995E-2</v>
      </c>
      <c r="K17" s="53">
        <v>50</v>
      </c>
    </row>
    <row r="18" spans="1:22" x14ac:dyDescent="0.25">
      <c r="A18" s="9" t="s">
        <v>40</v>
      </c>
      <c r="B18" s="68">
        <v>250</v>
      </c>
      <c r="C18" s="50" t="s">
        <v>41</v>
      </c>
      <c r="D18" s="49"/>
      <c r="E18" s="53">
        <v>3.9E-2</v>
      </c>
      <c r="F18" s="9">
        <v>4.2000000000000003E-2</v>
      </c>
      <c r="G18" s="9">
        <v>6.2E-2</v>
      </c>
      <c r="K18" s="53">
        <v>20</v>
      </c>
      <c r="L18" s="9">
        <v>30</v>
      </c>
      <c r="M18" s="9">
        <v>40</v>
      </c>
      <c r="N18" s="9">
        <v>50</v>
      </c>
      <c r="O18" s="9">
        <v>60</v>
      </c>
      <c r="P18" s="9">
        <v>70</v>
      </c>
      <c r="Q18" s="9">
        <v>80</v>
      </c>
      <c r="R18" s="9">
        <v>100</v>
      </c>
    </row>
    <row r="19" spans="1:22" x14ac:dyDescent="0.25">
      <c r="A19" s="9" t="s">
        <v>42</v>
      </c>
      <c r="B19" s="68">
        <v>640</v>
      </c>
      <c r="C19" s="50" t="s">
        <v>24</v>
      </c>
      <c r="D19" s="49">
        <v>2</v>
      </c>
      <c r="E19" s="53">
        <v>3.5000000000000003E-2</v>
      </c>
      <c r="F19" s="9">
        <v>3.6999999999999998E-2</v>
      </c>
      <c r="G19" s="9">
        <v>4.9000000000000002E-2</v>
      </c>
      <c r="H19" s="47">
        <v>0.08</v>
      </c>
      <c r="K19" s="53">
        <v>30</v>
      </c>
      <c r="L19" s="9">
        <v>40</v>
      </c>
      <c r="M19" s="9">
        <v>50</v>
      </c>
      <c r="N19" s="9">
        <v>60</v>
      </c>
      <c r="O19" s="9">
        <v>70</v>
      </c>
      <c r="P19" s="9">
        <v>80</v>
      </c>
      <c r="Q19" s="9">
        <v>100</v>
      </c>
      <c r="R19" s="9">
        <v>120</v>
      </c>
    </row>
    <row r="20" spans="1:22" x14ac:dyDescent="0.25">
      <c r="A20" s="9" t="s">
        <v>43</v>
      </c>
      <c r="B20" s="68">
        <v>640</v>
      </c>
      <c r="C20" s="50" t="s">
        <v>24</v>
      </c>
      <c r="D20" s="49">
        <v>2</v>
      </c>
      <c r="E20" s="53">
        <v>3.5000000000000003E-2</v>
      </c>
      <c r="F20" s="9">
        <v>3.6999999999999998E-2</v>
      </c>
      <c r="G20" s="9">
        <v>4.9000000000000002E-2</v>
      </c>
      <c r="H20" s="47">
        <v>0.08</v>
      </c>
      <c r="K20" s="53">
        <v>30</v>
      </c>
      <c r="L20" s="9">
        <v>40</v>
      </c>
      <c r="M20" s="9">
        <v>50</v>
      </c>
      <c r="N20" s="9">
        <v>60</v>
      </c>
      <c r="O20" s="9">
        <v>70</v>
      </c>
      <c r="P20" s="9">
        <v>80</v>
      </c>
      <c r="Q20" s="9">
        <v>100</v>
      </c>
      <c r="R20" s="9">
        <v>120</v>
      </c>
    </row>
    <row r="21" spans="1:22" x14ac:dyDescent="0.25">
      <c r="A21" s="9" t="s">
        <v>44</v>
      </c>
      <c r="B21" s="68">
        <v>640</v>
      </c>
      <c r="C21" s="50" t="s">
        <v>24</v>
      </c>
      <c r="D21" s="49">
        <v>2</v>
      </c>
      <c r="E21" s="53">
        <v>3.5000000000000003E-2</v>
      </c>
      <c r="F21" s="9">
        <v>3.6999999999999998E-2</v>
      </c>
      <c r="G21" s="9">
        <v>4.9000000000000002E-2</v>
      </c>
      <c r="H21" s="47">
        <v>0.08</v>
      </c>
      <c r="K21" s="53">
        <v>30</v>
      </c>
      <c r="L21" s="9">
        <v>40</v>
      </c>
      <c r="M21" s="9">
        <v>50</v>
      </c>
      <c r="N21" s="9">
        <v>60</v>
      </c>
      <c r="O21" s="9">
        <v>70</v>
      </c>
      <c r="P21" s="9">
        <v>80</v>
      </c>
      <c r="Q21" s="9">
        <v>100</v>
      </c>
      <c r="R21" s="9">
        <v>120</v>
      </c>
    </row>
    <row r="22" spans="1:22" x14ac:dyDescent="0.25">
      <c r="A22" s="9" t="s">
        <v>45</v>
      </c>
      <c r="B22" s="68">
        <v>660</v>
      </c>
      <c r="C22" s="50" t="s">
        <v>24</v>
      </c>
      <c r="D22" s="49">
        <v>2</v>
      </c>
      <c r="E22" s="53">
        <v>3.4000000000000002E-2</v>
      </c>
      <c r="F22" s="9">
        <v>3.5999999999999997E-2</v>
      </c>
      <c r="G22" s="9">
        <v>4.8000000000000001E-2</v>
      </c>
      <c r="H22" s="47">
        <v>7.5999999999999998E-2</v>
      </c>
      <c r="K22" s="53">
        <v>30</v>
      </c>
      <c r="L22" s="9">
        <v>40</v>
      </c>
      <c r="M22" s="9">
        <v>50</v>
      </c>
      <c r="N22" s="9">
        <v>60</v>
      </c>
      <c r="O22" s="9">
        <v>70</v>
      </c>
      <c r="P22" s="9">
        <v>80</v>
      </c>
      <c r="Q22" s="9">
        <v>90</v>
      </c>
      <c r="R22" s="9">
        <v>100</v>
      </c>
      <c r="S22" s="9">
        <v>120</v>
      </c>
    </row>
    <row r="23" spans="1:22" x14ac:dyDescent="0.25">
      <c r="A23" s="9" t="s">
        <v>46</v>
      </c>
      <c r="B23" s="68">
        <v>660</v>
      </c>
      <c r="C23" s="50" t="s">
        <v>24</v>
      </c>
      <c r="D23" s="49">
        <v>2</v>
      </c>
      <c r="E23" s="53">
        <v>3.4000000000000002E-2</v>
      </c>
      <c r="F23" s="9">
        <v>3.5999999999999997E-2</v>
      </c>
      <c r="G23" s="9">
        <v>4.8000000000000001E-2</v>
      </c>
      <c r="H23" s="47">
        <v>7.5999999999999998E-2</v>
      </c>
      <c r="K23" s="53">
        <v>30</v>
      </c>
      <c r="L23" s="9">
        <v>40</v>
      </c>
      <c r="M23" s="9">
        <v>50</v>
      </c>
      <c r="N23" s="9">
        <v>60</v>
      </c>
      <c r="O23" s="9">
        <v>70</v>
      </c>
      <c r="P23" s="9">
        <v>80</v>
      </c>
      <c r="Q23" s="9">
        <v>90</v>
      </c>
      <c r="R23" s="9">
        <v>100</v>
      </c>
      <c r="S23" s="9">
        <v>120</v>
      </c>
    </row>
    <row r="24" spans="1:22" x14ac:dyDescent="0.25">
      <c r="A24" s="9" t="s">
        <v>47</v>
      </c>
      <c r="B24" s="68">
        <v>660</v>
      </c>
      <c r="C24" s="50" t="s">
        <v>24</v>
      </c>
      <c r="D24" s="49">
        <v>2</v>
      </c>
      <c r="E24" s="53">
        <v>3.4000000000000002E-2</v>
      </c>
      <c r="F24" s="9">
        <v>3.5999999999999997E-2</v>
      </c>
      <c r="G24" s="9">
        <v>4.8000000000000001E-2</v>
      </c>
      <c r="H24" s="47">
        <v>7.5999999999999998E-2</v>
      </c>
      <c r="K24" s="53">
        <v>30</v>
      </c>
      <c r="L24" s="9">
        <v>40</v>
      </c>
      <c r="M24" s="9">
        <v>50</v>
      </c>
      <c r="N24" s="9">
        <v>60</v>
      </c>
      <c r="O24" s="9">
        <v>70</v>
      </c>
      <c r="P24" s="9">
        <v>80</v>
      </c>
      <c r="Q24" s="9">
        <v>90</v>
      </c>
      <c r="R24" s="9">
        <v>100</v>
      </c>
      <c r="S24" s="9">
        <v>120</v>
      </c>
    </row>
    <row r="25" spans="1:22" x14ac:dyDescent="0.25">
      <c r="A25" s="9" t="s">
        <v>48</v>
      </c>
      <c r="B25" s="68">
        <v>680</v>
      </c>
      <c r="C25" s="50" t="s">
        <v>24</v>
      </c>
      <c r="D25" s="49">
        <v>2</v>
      </c>
      <c r="E25" s="53">
        <v>3.4000000000000002E-2</v>
      </c>
      <c r="F25" s="47">
        <v>3.5999999999999997E-2</v>
      </c>
      <c r="G25" s="9">
        <v>4.4999999999999998E-2</v>
      </c>
      <c r="H25" s="9">
        <v>7.2999999999999995E-2</v>
      </c>
      <c r="K25" s="53">
        <v>30</v>
      </c>
      <c r="L25" s="9">
        <v>40</v>
      </c>
      <c r="M25" s="9">
        <v>50</v>
      </c>
      <c r="N25" s="9">
        <v>60</v>
      </c>
      <c r="O25" s="9">
        <v>70</v>
      </c>
      <c r="P25" s="9">
        <v>80</v>
      </c>
      <c r="Q25" s="9">
        <v>100</v>
      </c>
    </row>
    <row r="26" spans="1:22" x14ac:dyDescent="0.25">
      <c r="A26" s="9" t="s">
        <v>49</v>
      </c>
      <c r="B26" s="68">
        <v>680</v>
      </c>
      <c r="C26" s="50" t="s">
        <v>24</v>
      </c>
      <c r="D26" s="49">
        <v>2</v>
      </c>
      <c r="E26" s="53">
        <v>3.4000000000000002E-2</v>
      </c>
      <c r="F26" s="47">
        <v>3.5999999999999997E-2</v>
      </c>
      <c r="G26" s="9">
        <v>4.4999999999999998E-2</v>
      </c>
      <c r="H26" s="9">
        <v>7.2999999999999995E-2</v>
      </c>
      <c r="K26" s="53">
        <v>30</v>
      </c>
      <c r="L26" s="9">
        <v>40</v>
      </c>
      <c r="M26" s="9">
        <v>50</v>
      </c>
      <c r="N26" s="9">
        <v>60</v>
      </c>
      <c r="O26" s="9">
        <v>70</v>
      </c>
      <c r="P26" s="9">
        <v>80</v>
      </c>
      <c r="Q26" s="9">
        <v>100</v>
      </c>
    </row>
    <row r="27" spans="1:22" x14ac:dyDescent="0.25">
      <c r="A27" s="9" t="s">
        <v>50</v>
      </c>
      <c r="B27" s="68">
        <v>680</v>
      </c>
      <c r="C27" s="50" t="s">
        <v>24</v>
      </c>
      <c r="D27" s="49">
        <v>2</v>
      </c>
      <c r="E27" s="53">
        <v>3.4000000000000002E-2</v>
      </c>
      <c r="F27" s="47">
        <v>3.5999999999999997E-2</v>
      </c>
      <c r="G27" s="9">
        <v>4.4999999999999998E-2</v>
      </c>
      <c r="H27" s="9">
        <v>7.2999999999999995E-2</v>
      </c>
      <c r="K27" s="53">
        <v>30</v>
      </c>
      <c r="L27" s="9">
        <v>40</v>
      </c>
      <c r="M27" s="9">
        <v>50</v>
      </c>
      <c r="N27" s="9">
        <v>60</v>
      </c>
      <c r="O27" s="9">
        <v>70</v>
      </c>
      <c r="P27" s="9">
        <v>80</v>
      </c>
      <c r="Q27" s="9">
        <v>100</v>
      </c>
    </row>
    <row r="28" spans="1:22" x14ac:dyDescent="0.25">
      <c r="A28" s="47" t="s">
        <v>51</v>
      </c>
      <c r="B28" s="68">
        <v>640</v>
      </c>
      <c r="C28" s="51" t="s">
        <v>41</v>
      </c>
      <c r="D28" s="52"/>
      <c r="E28" s="53">
        <v>3.4000000000000002E-2</v>
      </c>
      <c r="F28" s="9">
        <v>3.6999999999999998E-2</v>
      </c>
      <c r="G28" s="9">
        <v>4.7E-2</v>
      </c>
      <c r="H28" s="9">
        <v>8.3000000000000004E-2</v>
      </c>
      <c r="I28" s="9">
        <v>0.11600000000000001</v>
      </c>
      <c r="J28" s="47">
        <v>0.157</v>
      </c>
      <c r="K28" s="53">
        <v>20</v>
      </c>
      <c r="L28" s="9">
        <v>30</v>
      </c>
      <c r="M28" s="9">
        <v>40</v>
      </c>
      <c r="N28" s="9">
        <v>50</v>
      </c>
      <c r="O28" s="9">
        <v>60</v>
      </c>
      <c r="P28" s="9">
        <v>70</v>
      </c>
      <c r="Q28" s="9">
        <v>80</v>
      </c>
      <c r="R28" s="9">
        <v>100</v>
      </c>
      <c r="S28" s="9">
        <v>120</v>
      </c>
      <c r="T28" s="9">
        <v>140</v>
      </c>
      <c r="U28" s="9">
        <v>160</v>
      </c>
      <c r="V28" s="9">
        <v>200</v>
      </c>
    </row>
    <row r="29" spans="1:22" x14ac:dyDescent="0.25">
      <c r="A29" s="47" t="s">
        <v>52</v>
      </c>
      <c r="B29" s="68">
        <v>640</v>
      </c>
      <c r="C29" s="51" t="s">
        <v>41</v>
      </c>
      <c r="D29" s="52"/>
      <c r="E29" s="53">
        <v>3.4000000000000002E-2</v>
      </c>
      <c r="F29" s="9">
        <v>3.6999999999999998E-2</v>
      </c>
      <c r="G29" s="9">
        <v>4.7E-2</v>
      </c>
      <c r="H29" s="9">
        <v>8.3000000000000004E-2</v>
      </c>
      <c r="I29" s="9">
        <v>0.11600000000000001</v>
      </c>
      <c r="J29" s="47">
        <v>0.157</v>
      </c>
      <c r="K29" s="53">
        <v>80</v>
      </c>
      <c r="L29" s="9">
        <v>100</v>
      </c>
      <c r="M29" s="9">
        <v>120</v>
      </c>
      <c r="N29" s="9">
        <v>140</v>
      </c>
      <c r="O29" s="9">
        <v>160</v>
      </c>
    </row>
    <row r="30" spans="1:22" x14ac:dyDescent="0.25">
      <c r="A30" s="47" t="s">
        <v>53</v>
      </c>
      <c r="B30" s="68">
        <v>640</v>
      </c>
      <c r="C30" s="51" t="s">
        <v>41</v>
      </c>
      <c r="D30" s="52"/>
      <c r="E30" s="53">
        <v>3.4000000000000002E-2</v>
      </c>
      <c r="F30" s="9">
        <v>3.6999999999999998E-2</v>
      </c>
      <c r="G30" s="9">
        <v>4.7E-2</v>
      </c>
      <c r="H30" s="9">
        <v>8.3000000000000004E-2</v>
      </c>
      <c r="I30" s="9">
        <v>0.11600000000000001</v>
      </c>
      <c r="J30" s="47">
        <v>0.157</v>
      </c>
      <c r="K30" s="53">
        <v>50</v>
      </c>
      <c r="L30" s="9">
        <v>60</v>
      </c>
      <c r="M30" s="9">
        <v>70</v>
      </c>
      <c r="N30" s="9">
        <v>80</v>
      </c>
      <c r="O30" s="9">
        <v>90</v>
      </c>
      <c r="P30" s="9">
        <v>100</v>
      </c>
      <c r="Q30" s="9">
        <v>110</v>
      </c>
      <c r="R30" s="9">
        <v>120</v>
      </c>
      <c r="S30" s="9">
        <v>130</v>
      </c>
      <c r="T30" s="9">
        <v>140</v>
      </c>
      <c r="U30" s="9">
        <v>150</v>
      </c>
      <c r="V30" s="9">
        <v>160</v>
      </c>
    </row>
    <row r="31" spans="1:22" x14ac:dyDescent="0.25">
      <c r="A31" s="47" t="s">
        <v>54</v>
      </c>
      <c r="B31" s="68">
        <v>640</v>
      </c>
      <c r="C31" s="51" t="s">
        <v>41</v>
      </c>
      <c r="D31" s="52"/>
      <c r="E31" s="53">
        <v>3.4000000000000002E-2</v>
      </c>
      <c r="F31" s="9">
        <v>3.6999999999999998E-2</v>
      </c>
      <c r="G31" s="9">
        <v>4.7E-2</v>
      </c>
      <c r="H31" s="9">
        <v>8.3000000000000004E-2</v>
      </c>
      <c r="I31" s="9">
        <v>0.11600000000000001</v>
      </c>
      <c r="J31" s="47">
        <v>0.157</v>
      </c>
      <c r="K31" s="53">
        <v>50</v>
      </c>
      <c r="L31" s="9">
        <v>60</v>
      </c>
      <c r="M31" s="9">
        <v>70</v>
      </c>
      <c r="N31" s="9">
        <v>80</v>
      </c>
      <c r="O31" s="9">
        <v>90</v>
      </c>
      <c r="P31" s="9">
        <v>100</v>
      </c>
      <c r="Q31" s="9">
        <v>110</v>
      </c>
      <c r="R31" s="9">
        <v>120</v>
      </c>
      <c r="S31" s="9">
        <v>130</v>
      </c>
      <c r="T31" s="9">
        <v>140</v>
      </c>
      <c r="U31" s="9">
        <v>150</v>
      </c>
      <c r="V31" s="9">
        <v>160</v>
      </c>
    </row>
    <row r="32" spans="1:22" x14ac:dyDescent="0.25">
      <c r="A32" s="47" t="s">
        <v>55</v>
      </c>
      <c r="B32" s="68">
        <v>640</v>
      </c>
      <c r="C32" s="51" t="s">
        <v>41</v>
      </c>
      <c r="D32" s="52"/>
      <c r="E32" s="53">
        <v>3.4000000000000002E-2</v>
      </c>
      <c r="F32" s="9">
        <v>3.6999999999999998E-2</v>
      </c>
      <c r="G32" s="9">
        <v>4.7E-2</v>
      </c>
      <c r="H32" s="9">
        <v>8.3000000000000004E-2</v>
      </c>
      <c r="I32" s="9">
        <v>0.11600000000000001</v>
      </c>
      <c r="J32" s="47">
        <v>0.157</v>
      </c>
      <c r="K32" s="53">
        <v>50</v>
      </c>
      <c r="L32" s="9">
        <v>60</v>
      </c>
      <c r="M32" s="9">
        <v>70</v>
      </c>
      <c r="N32" s="9">
        <v>80</v>
      </c>
      <c r="O32" s="9">
        <v>90</v>
      </c>
      <c r="P32" s="9">
        <v>100</v>
      </c>
      <c r="Q32" s="9">
        <v>110</v>
      </c>
      <c r="R32" s="9">
        <v>120</v>
      </c>
    </row>
    <row r="33" spans="1:22" x14ac:dyDescent="0.25">
      <c r="A33" s="47" t="s">
        <v>56</v>
      </c>
      <c r="B33" s="68">
        <v>250</v>
      </c>
      <c r="C33" s="51" t="s">
        <v>41</v>
      </c>
      <c r="D33" s="52"/>
      <c r="E33" s="54">
        <v>3.4000000000000002E-2</v>
      </c>
      <c r="F33" s="47">
        <v>3.6999999999999998E-2</v>
      </c>
      <c r="G33" s="47">
        <v>4.7E-2</v>
      </c>
      <c r="K33" s="53">
        <v>20</v>
      </c>
      <c r="L33" s="9">
        <v>30</v>
      </c>
      <c r="M33" s="9">
        <v>40</v>
      </c>
      <c r="N33" s="9">
        <v>50</v>
      </c>
      <c r="O33" s="9">
        <v>60</v>
      </c>
      <c r="P33" s="9">
        <v>80</v>
      </c>
      <c r="Q33" s="9">
        <v>100</v>
      </c>
    </row>
    <row r="34" spans="1:22" x14ac:dyDescent="0.25">
      <c r="A34" s="47" t="s">
        <v>57</v>
      </c>
      <c r="B34" s="68">
        <v>680</v>
      </c>
      <c r="C34" s="51" t="s">
        <v>41</v>
      </c>
      <c r="D34" s="52"/>
      <c r="E34" s="53">
        <v>3.6999999999999998E-2</v>
      </c>
      <c r="F34" s="9">
        <v>3.9E-2</v>
      </c>
      <c r="G34" s="9">
        <v>4.5999999999999999E-2</v>
      </c>
      <c r="H34" s="9">
        <v>7.6999999999999999E-2</v>
      </c>
      <c r="I34" s="9">
        <v>0.104</v>
      </c>
      <c r="J34" s="47">
        <v>0.13800000000000001</v>
      </c>
      <c r="K34" s="53">
        <v>20</v>
      </c>
      <c r="L34" s="9">
        <v>30</v>
      </c>
      <c r="M34" s="9">
        <v>40</v>
      </c>
      <c r="N34" s="9">
        <v>50</v>
      </c>
      <c r="O34" s="9">
        <v>60</v>
      </c>
      <c r="P34" s="9">
        <v>80</v>
      </c>
      <c r="Q34" s="9">
        <v>100</v>
      </c>
      <c r="R34" s="9">
        <v>120</v>
      </c>
      <c r="S34" s="9">
        <v>140</v>
      </c>
      <c r="T34" s="9">
        <v>160</v>
      </c>
      <c r="U34" s="9">
        <v>200</v>
      </c>
    </row>
    <row r="35" spans="1:22" x14ac:dyDescent="0.25">
      <c r="A35" s="47" t="s">
        <v>58</v>
      </c>
      <c r="B35" s="68">
        <v>680</v>
      </c>
      <c r="C35" s="51" t="s">
        <v>41</v>
      </c>
      <c r="D35" s="52"/>
      <c r="E35" s="53">
        <v>3.6999999999999998E-2</v>
      </c>
      <c r="F35" s="9">
        <v>3.9E-2</v>
      </c>
      <c r="G35" s="9">
        <v>4.5999999999999999E-2</v>
      </c>
      <c r="H35" s="9">
        <v>7.6999999999999999E-2</v>
      </c>
      <c r="I35" s="9">
        <v>0.104</v>
      </c>
      <c r="J35" s="47">
        <v>0.13800000000000001</v>
      </c>
      <c r="K35" s="53">
        <v>80</v>
      </c>
      <c r="L35" s="9">
        <v>100</v>
      </c>
      <c r="M35" s="9">
        <v>120</v>
      </c>
      <c r="N35" s="9">
        <v>140</v>
      </c>
      <c r="O35" s="9">
        <v>160</v>
      </c>
    </row>
    <row r="36" spans="1:22" x14ac:dyDescent="0.25">
      <c r="A36" s="47" t="s">
        <v>59</v>
      </c>
      <c r="B36" s="68">
        <v>680</v>
      </c>
      <c r="C36" s="51" t="s">
        <v>41</v>
      </c>
      <c r="D36" s="52"/>
      <c r="E36" s="53">
        <v>3.6999999999999998E-2</v>
      </c>
      <c r="F36" s="9">
        <v>3.9E-2</v>
      </c>
      <c r="G36" s="9">
        <v>4.5999999999999999E-2</v>
      </c>
      <c r="H36" s="9">
        <v>7.6999999999999999E-2</v>
      </c>
      <c r="I36" s="9">
        <v>0.104</v>
      </c>
      <c r="J36" s="47">
        <v>0.13800000000000001</v>
      </c>
      <c r="K36" s="53">
        <v>50</v>
      </c>
      <c r="L36" s="9">
        <v>60</v>
      </c>
      <c r="M36" s="9">
        <v>70</v>
      </c>
      <c r="N36" s="9">
        <v>80</v>
      </c>
      <c r="O36" s="9">
        <v>90</v>
      </c>
      <c r="P36" s="9">
        <v>100</v>
      </c>
      <c r="Q36" s="9">
        <v>110</v>
      </c>
      <c r="R36" s="9">
        <v>120</v>
      </c>
      <c r="S36" s="9">
        <v>130</v>
      </c>
      <c r="T36" s="9">
        <v>140</v>
      </c>
      <c r="U36" s="9">
        <v>150</v>
      </c>
      <c r="V36" s="9">
        <v>160</v>
      </c>
    </row>
    <row r="37" spans="1:22" x14ac:dyDescent="0.25">
      <c r="A37" s="47" t="s">
        <v>60</v>
      </c>
      <c r="B37" s="68">
        <v>680</v>
      </c>
      <c r="C37" s="51" t="s">
        <v>41</v>
      </c>
      <c r="D37" s="52"/>
      <c r="E37" s="53">
        <v>3.6999999999999998E-2</v>
      </c>
      <c r="F37" s="9">
        <v>3.9E-2</v>
      </c>
      <c r="G37" s="9">
        <v>4.5999999999999999E-2</v>
      </c>
      <c r="H37" s="9">
        <v>7.6999999999999999E-2</v>
      </c>
      <c r="I37" s="9">
        <v>0.104</v>
      </c>
      <c r="J37" s="47">
        <v>0.13800000000000001</v>
      </c>
      <c r="K37" s="53">
        <v>50</v>
      </c>
      <c r="L37" s="9">
        <v>60</v>
      </c>
      <c r="M37" s="9">
        <v>70</v>
      </c>
      <c r="N37" s="9">
        <v>80</v>
      </c>
      <c r="O37" s="9">
        <v>90</v>
      </c>
      <c r="P37" s="9">
        <v>100</v>
      </c>
      <c r="Q37" s="9">
        <v>110</v>
      </c>
      <c r="R37" s="9">
        <v>120</v>
      </c>
    </row>
    <row r="38" spans="1:22" x14ac:dyDescent="0.25">
      <c r="A38" s="47" t="s">
        <v>61</v>
      </c>
      <c r="B38" s="68">
        <v>250</v>
      </c>
      <c r="C38" s="51" t="s">
        <v>41</v>
      </c>
      <c r="D38" s="52"/>
      <c r="E38" s="54">
        <v>3.4000000000000002E-2</v>
      </c>
      <c r="F38" s="47">
        <v>3.6999999999999998E-2</v>
      </c>
      <c r="G38" s="47">
        <v>4.7E-2</v>
      </c>
      <c r="K38" s="53">
        <v>20</v>
      </c>
      <c r="L38" s="9">
        <v>30</v>
      </c>
      <c r="M38" s="9">
        <v>40</v>
      </c>
      <c r="N38" s="9">
        <v>50</v>
      </c>
    </row>
    <row r="39" spans="1:22" x14ac:dyDescent="0.25">
      <c r="A39" s="47" t="s">
        <v>1008</v>
      </c>
      <c r="B39" s="68">
        <v>400</v>
      </c>
      <c r="C39" s="50" t="s">
        <v>24</v>
      </c>
      <c r="D39" s="49">
        <v>5</v>
      </c>
      <c r="E39" s="53">
        <v>3.9E-2</v>
      </c>
      <c r="F39" s="9">
        <v>4.2000000000000003E-2</v>
      </c>
      <c r="G39" s="9">
        <v>6.2E-2</v>
      </c>
      <c r="K39" s="53">
        <v>40</v>
      </c>
      <c r="L39" s="9">
        <v>50</v>
      </c>
      <c r="M39" s="9">
        <v>60</v>
      </c>
      <c r="N39" s="9">
        <v>80</v>
      </c>
      <c r="O39" s="9">
        <v>100</v>
      </c>
    </row>
    <row r="40" spans="1:22" x14ac:dyDescent="0.25">
      <c r="A40" s="47" t="s">
        <v>1009</v>
      </c>
      <c r="B40" s="68">
        <v>500</v>
      </c>
      <c r="C40" s="50" t="s">
        <v>24</v>
      </c>
      <c r="D40" s="49">
        <v>5</v>
      </c>
      <c r="E40" s="53">
        <v>3.6999999999999998E-2</v>
      </c>
      <c r="F40" s="9">
        <v>0.04</v>
      </c>
      <c r="G40" s="9">
        <v>5.0999999999999997E-2</v>
      </c>
      <c r="K40" s="53">
        <v>40</v>
      </c>
      <c r="L40" s="9">
        <v>50</v>
      </c>
      <c r="M40" s="9">
        <v>60</v>
      </c>
      <c r="N40" s="9">
        <v>80</v>
      </c>
      <c r="O40" s="9">
        <v>100</v>
      </c>
    </row>
    <row r="41" spans="1:22" x14ac:dyDescent="0.25">
      <c r="A41" s="47" t="s">
        <v>1011</v>
      </c>
      <c r="B41" s="68">
        <v>250</v>
      </c>
      <c r="C41" s="51" t="s">
        <v>24</v>
      </c>
      <c r="D41" s="52">
        <v>3</v>
      </c>
      <c r="E41" s="53">
        <v>3.6999999999999998E-2</v>
      </c>
      <c r="F41" s="9">
        <v>3.9E-2</v>
      </c>
      <c r="G41" s="9">
        <v>4.5999999999999999E-2</v>
      </c>
      <c r="H41" s="9">
        <v>7.6999999999999999E-2</v>
      </c>
      <c r="I41" s="9">
        <v>0.104</v>
      </c>
      <c r="J41" s="47">
        <v>0.13800000000000001</v>
      </c>
      <c r="K41" s="53">
        <v>50</v>
      </c>
      <c r="L41" s="9">
        <v>60</v>
      </c>
      <c r="M41" s="9">
        <v>80</v>
      </c>
      <c r="N41" s="9">
        <v>100</v>
      </c>
      <c r="O41" s="9">
        <v>120</v>
      </c>
      <c r="P41" s="9">
        <v>160</v>
      </c>
      <c r="Q41" s="9">
        <v>200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AL564"/>
  <sheetViews>
    <sheetView topLeftCell="A543" zoomScale="70" zoomScaleNormal="70" workbookViewId="0">
      <selection activeCell="A563" sqref="A563:XFD563"/>
    </sheetView>
  </sheetViews>
  <sheetFormatPr defaultRowHeight="15" x14ac:dyDescent="0.25"/>
  <cols>
    <col min="1" max="1" width="23.7109375" customWidth="1"/>
    <col min="2" max="2" width="10.42578125" customWidth="1"/>
    <col min="3" max="20" width="9.140625" customWidth="1"/>
    <col min="21" max="21" width="9.140625" style="27"/>
    <col min="22" max="22" width="9.140625" style="29"/>
    <col min="23" max="24" width="9.140625" customWidth="1"/>
    <col min="25" max="25" width="23" customWidth="1"/>
  </cols>
  <sheetData>
    <row r="1" spans="1:38" x14ac:dyDescent="0.25">
      <c r="C1" t="s">
        <v>747</v>
      </c>
      <c r="D1" t="s">
        <v>746</v>
      </c>
      <c r="E1" t="s">
        <v>745</v>
      </c>
      <c r="F1" t="s">
        <v>744</v>
      </c>
      <c r="G1" t="s">
        <v>714</v>
      </c>
      <c r="H1" t="s">
        <v>974</v>
      </c>
      <c r="I1" t="s">
        <v>975</v>
      </c>
      <c r="J1" t="s">
        <v>976</v>
      </c>
    </row>
    <row r="2" spans="1:38" x14ac:dyDescent="0.25">
      <c r="A2">
        <v>0</v>
      </c>
      <c r="B2" s="1" t="s">
        <v>128</v>
      </c>
      <c r="C2" s="1">
        <v>1</v>
      </c>
      <c r="D2" s="1">
        <v>1</v>
      </c>
      <c r="E2" s="1">
        <v>1</v>
      </c>
      <c r="F2" s="1">
        <v>1</v>
      </c>
      <c r="G2" s="28">
        <v>1</v>
      </c>
      <c r="H2" s="28">
        <v>20</v>
      </c>
      <c r="I2" s="28">
        <v>0</v>
      </c>
      <c r="J2" s="28">
        <v>25</v>
      </c>
    </row>
    <row r="3" spans="1:38" x14ac:dyDescent="0.25">
      <c r="A3">
        <v>1</v>
      </c>
      <c r="B3" s="1" t="s">
        <v>743</v>
      </c>
      <c r="C3" s="1">
        <v>0.98</v>
      </c>
      <c r="D3" s="1">
        <v>0.98</v>
      </c>
      <c r="E3" s="1">
        <v>0.95</v>
      </c>
      <c r="F3" s="1">
        <v>0.94</v>
      </c>
      <c r="G3" s="28">
        <v>1</v>
      </c>
      <c r="H3" s="28">
        <v>20</v>
      </c>
      <c r="I3" s="28">
        <v>0</v>
      </c>
      <c r="J3" s="28">
        <v>25</v>
      </c>
    </row>
    <row r="4" spans="1:38" x14ac:dyDescent="0.25">
      <c r="A4">
        <v>2</v>
      </c>
      <c r="B4" s="1" t="s">
        <v>742</v>
      </c>
      <c r="C4" s="1">
        <v>0.98</v>
      </c>
      <c r="D4" s="1">
        <v>0.98</v>
      </c>
      <c r="E4" s="1">
        <v>0.95</v>
      </c>
      <c r="F4" s="1">
        <v>0.94</v>
      </c>
      <c r="G4" s="28">
        <v>1</v>
      </c>
      <c r="H4" s="28">
        <v>20</v>
      </c>
      <c r="I4" s="28">
        <v>0</v>
      </c>
      <c r="J4" s="28">
        <v>25</v>
      </c>
    </row>
    <row r="5" spans="1:38" x14ac:dyDescent="0.25">
      <c r="A5">
        <v>3</v>
      </c>
      <c r="B5" s="1" t="s">
        <v>741</v>
      </c>
      <c r="C5" s="1">
        <v>0.98</v>
      </c>
      <c r="D5" s="1">
        <v>0.98</v>
      </c>
      <c r="E5" s="1">
        <v>0.95</v>
      </c>
      <c r="F5" s="1">
        <v>0.94</v>
      </c>
      <c r="G5" s="28">
        <v>1</v>
      </c>
      <c r="H5" s="28">
        <v>20</v>
      </c>
      <c r="I5" s="28">
        <v>0</v>
      </c>
      <c r="J5" s="28">
        <v>25</v>
      </c>
    </row>
    <row r="6" spans="1:38" x14ac:dyDescent="0.25">
      <c r="A6">
        <v>4</v>
      </c>
      <c r="B6" s="1" t="s">
        <v>740</v>
      </c>
      <c r="C6" s="1">
        <v>0.96</v>
      </c>
      <c r="D6" s="1">
        <v>0.96</v>
      </c>
      <c r="E6" s="1">
        <v>0.92</v>
      </c>
      <c r="F6" s="1">
        <v>0.9</v>
      </c>
      <c r="G6" s="28">
        <v>1</v>
      </c>
      <c r="H6" s="28">
        <v>20</v>
      </c>
      <c r="I6" s="28">
        <v>0</v>
      </c>
      <c r="J6" s="28">
        <v>25</v>
      </c>
    </row>
    <row r="7" spans="1:38" x14ac:dyDescent="0.25">
      <c r="A7">
        <v>5</v>
      </c>
      <c r="B7" s="1" t="s">
        <v>739</v>
      </c>
      <c r="C7" s="1">
        <v>0.96</v>
      </c>
      <c r="D7" s="1">
        <v>0.96</v>
      </c>
      <c r="E7" s="1">
        <v>0.92</v>
      </c>
      <c r="F7" s="1">
        <v>0.9</v>
      </c>
      <c r="G7" s="28">
        <v>1</v>
      </c>
      <c r="H7" s="28">
        <v>20</v>
      </c>
      <c r="I7" s="28">
        <v>0</v>
      </c>
      <c r="J7" s="28">
        <v>25</v>
      </c>
    </row>
    <row r="13" spans="1:38" ht="98.25" customHeight="1" x14ac:dyDescent="0.25">
      <c r="A13" s="71" t="s">
        <v>719</v>
      </c>
      <c r="B13" s="71" t="s">
        <v>738</v>
      </c>
      <c r="C13" s="71"/>
      <c r="D13" s="71" t="s">
        <v>737</v>
      </c>
      <c r="E13" s="71"/>
      <c r="F13" s="71" t="s">
        <v>736</v>
      </c>
      <c r="G13" s="71" t="s">
        <v>735</v>
      </c>
      <c r="H13" s="71" t="s">
        <v>734</v>
      </c>
      <c r="I13" s="71" t="s">
        <v>733</v>
      </c>
      <c r="J13" s="71"/>
      <c r="K13" s="71"/>
      <c r="L13" s="71"/>
      <c r="M13" s="71"/>
      <c r="N13" s="71"/>
      <c r="O13" s="71" t="s">
        <v>732</v>
      </c>
      <c r="P13" s="71" t="s">
        <v>731</v>
      </c>
      <c r="Q13" s="71" t="s">
        <v>730</v>
      </c>
      <c r="R13" s="71" t="s">
        <v>729</v>
      </c>
      <c r="S13" s="71" t="s">
        <v>728</v>
      </c>
      <c r="T13" s="71" t="s">
        <v>727</v>
      </c>
    </row>
    <row r="14" spans="1:38" x14ac:dyDescent="0.25">
      <c r="A14" s="71"/>
      <c r="B14" s="71" t="s">
        <v>726</v>
      </c>
      <c r="C14" s="71" t="s">
        <v>725</v>
      </c>
      <c r="D14" s="71" t="s">
        <v>726</v>
      </c>
      <c r="E14" s="71" t="s">
        <v>725</v>
      </c>
      <c r="F14" s="71"/>
      <c r="G14" s="71"/>
      <c r="H14" s="71"/>
      <c r="I14" s="71" t="s">
        <v>724</v>
      </c>
      <c r="J14" s="71"/>
      <c r="K14" s="71" t="s">
        <v>723</v>
      </c>
      <c r="L14" s="71"/>
      <c r="M14" s="71" t="s">
        <v>722</v>
      </c>
      <c r="N14" s="71"/>
      <c r="O14" s="71"/>
      <c r="P14" s="71"/>
      <c r="Q14" s="71"/>
      <c r="R14" s="71"/>
      <c r="S14" s="71"/>
      <c r="T14" s="71"/>
    </row>
    <row r="15" spans="1:38" ht="38.25" x14ac:dyDescent="0.25">
      <c r="A15" s="71"/>
      <c r="B15" s="71"/>
      <c r="C15" s="71"/>
      <c r="D15" s="71"/>
      <c r="E15" s="71"/>
      <c r="F15" s="71"/>
      <c r="G15" s="71"/>
      <c r="H15" s="71"/>
      <c r="I15" s="30" t="s">
        <v>721</v>
      </c>
      <c r="J15" s="30" t="s">
        <v>720</v>
      </c>
      <c r="K15" s="30" t="s">
        <v>721</v>
      </c>
      <c r="L15" s="30" t="s">
        <v>720</v>
      </c>
      <c r="M15" s="30" t="s">
        <v>721</v>
      </c>
      <c r="N15" s="30" t="s">
        <v>720</v>
      </c>
      <c r="O15" s="71"/>
      <c r="P15" s="71"/>
      <c r="Q15" s="71"/>
      <c r="R15" s="71"/>
      <c r="S15" s="71"/>
      <c r="T15" s="71"/>
      <c r="U15" s="27" t="s">
        <v>127</v>
      </c>
      <c r="Y15" s="30" t="s">
        <v>719</v>
      </c>
      <c r="Z15" s="30" t="s">
        <v>718</v>
      </c>
      <c r="AA15" s="30" t="s">
        <v>717</v>
      </c>
      <c r="AB15" s="30" t="s">
        <v>716</v>
      </c>
      <c r="AC15" s="30" t="s">
        <v>715</v>
      </c>
      <c r="AD15" s="30" t="s">
        <v>714</v>
      </c>
      <c r="AE15" s="30" t="s">
        <v>713</v>
      </c>
      <c r="AF15" s="30" t="s">
        <v>712</v>
      </c>
      <c r="AG15" s="30" t="s">
        <v>711</v>
      </c>
      <c r="AH15" s="30" t="s">
        <v>710</v>
      </c>
      <c r="AI15" s="30" t="s">
        <v>709</v>
      </c>
      <c r="AJ15" s="30" t="s">
        <v>708</v>
      </c>
      <c r="AK15" s="30" t="s">
        <v>707</v>
      </c>
      <c r="AL15" s="30" t="s">
        <v>706</v>
      </c>
    </row>
    <row r="16" spans="1:38" ht="15.75" customHeight="1" x14ac:dyDescent="0.25">
      <c r="A16" s="30">
        <v>1</v>
      </c>
      <c r="B16" s="30">
        <v>2</v>
      </c>
      <c r="C16" s="30">
        <v>3</v>
      </c>
      <c r="D16" s="30">
        <v>4</v>
      </c>
      <c r="E16" s="30">
        <v>5</v>
      </c>
      <c r="F16" s="30">
        <v>6</v>
      </c>
      <c r="G16" s="30">
        <v>7</v>
      </c>
      <c r="H16" s="30">
        <v>8</v>
      </c>
      <c r="I16" s="30">
        <v>9</v>
      </c>
      <c r="J16" s="30">
        <v>10</v>
      </c>
      <c r="K16" s="30">
        <v>11</v>
      </c>
      <c r="L16" s="30">
        <v>12</v>
      </c>
      <c r="M16" s="30">
        <v>13</v>
      </c>
      <c r="N16" s="30">
        <v>14</v>
      </c>
      <c r="O16" s="30">
        <v>15</v>
      </c>
      <c r="P16" s="30">
        <v>16</v>
      </c>
      <c r="Q16" s="30">
        <v>17</v>
      </c>
      <c r="R16" s="30">
        <v>18</v>
      </c>
      <c r="S16" s="30">
        <v>19</v>
      </c>
      <c r="T16" s="30">
        <v>20</v>
      </c>
      <c r="Y16" s="30">
        <v>1</v>
      </c>
      <c r="Z16" s="30">
        <v>2</v>
      </c>
      <c r="AA16" s="30">
        <v>3</v>
      </c>
      <c r="AB16" s="30">
        <v>4</v>
      </c>
      <c r="AC16" s="30">
        <v>5</v>
      </c>
      <c r="AD16" s="30">
        <v>6</v>
      </c>
      <c r="AE16" s="30">
        <v>7</v>
      </c>
      <c r="AF16" s="30">
        <v>8</v>
      </c>
      <c r="AG16" s="30">
        <v>9</v>
      </c>
      <c r="AH16" s="30">
        <v>10</v>
      </c>
      <c r="AI16" s="30">
        <v>11</v>
      </c>
      <c r="AJ16" s="30">
        <v>12</v>
      </c>
      <c r="AK16" s="30">
        <v>13</v>
      </c>
      <c r="AL16" s="30">
        <v>14</v>
      </c>
    </row>
    <row r="17" spans="1:38" ht="15.75" customHeight="1" x14ac:dyDescent="0.25">
      <c r="A17" s="72" t="s">
        <v>705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1:38" x14ac:dyDescent="0.25">
      <c r="A18" s="33" t="s">
        <v>704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Y18" s="33" t="s">
        <v>704</v>
      </c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</row>
    <row r="19" spans="1:38" x14ac:dyDescent="0.25">
      <c r="A19" s="31" t="s">
        <v>703</v>
      </c>
      <c r="B19" s="30">
        <v>-27</v>
      </c>
      <c r="C19" s="30">
        <v>-22</v>
      </c>
      <c r="D19" s="30">
        <v>-21</v>
      </c>
      <c r="E19" s="30">
        <v>-19</v>
      </c>
      <c r="F19" s="30">
        <v>-6</v>
      </c>
      <c r="G19" s="30">
        <v>-34</v>
      </c>
      <c r="H19" s="30">
        <v>9</v>
      </c>
      <c r="I19" s="30">
        <v>40</v>
      </c>
      <c r="J19" s="30">
        <v>-1</v>
      </c>
      <c r="K19" s="30">
        <v>148</v>
      </c>
      <c r="L19" s="30">
        <v>2.2999999999999998</v>
      </c>
      <c r="M19" s="30">
        <v>169</v>
      </c>
      <c r="N19" s="30">
        <v>3.1</v>
      </c>
      <c r="O19" s="30">
        <v>79</v>
      </c>
      <c r="P19" s="30">
        <v>72</v>
      </c>
      <c r="Q19" s="30">
        <v>276</v>
      </c>
      <c r="R19" s="30" t="s">
        <v>150</v>
      </c>
      <c r="S19" s="30">
        <v>5.7</v>
      </c>
      <c r="T19" s="30">
        <v>3</v>
      </c>
      <c r="U19" s="34">
        <v>0</v>
      </c>
      <c r="V19" s="29" t="s">
        <v>246</v>
      </c>
      <c r="Y19" s="31" t="s">
        <v>703</v>
      </c>
      <c r="Z19" s="37">
        <v>-1.4</v>
      </c>
      <c r="AA19" s="37">
        <v>0.3</v>
      </c>
      <c r="AB19" s="37">
        <v>4.0999999999999996</v>
      </c>
      <c r="AC19" s="37">
        <v>11.3</v>
      </c>
      <c r="AD19" s="37">
        <v>16.5</v>
      </c>
      <c r="AE19" s="37">
        <v>19.7</v>
      </c>
      <c r="AF19" s="37">
        <v>22.2</v>
      </c>
      <c r="AG19" s="37">
        <v>21.9</v>
      </c>
      <c r="AH19" s="37">
        <v>17.100000000000001</v>
      </c>
      <c r="AI19" s="37">
        <v>11.2</v>
      </c>
      <c r="AJ19" s="37">
        <v>6.2</v>
      </c>
      <c r="AK19" s="37">
        <v>1.4</v>
      </c>
      <c r="AL19" s="37">
        <v>10.9</v>
      </c>
    </row>
    <row r="20" spans="1:38" x14ac:dyDescent="0.25">
      <c r="A20" s="33" t="s">
        <v>702</v>
      </c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34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spans="1:38" x14ac:dyDescent="0.25">
      <c r="A21" s="33" t="s">
        <v>687</v>
      </c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34"/>
      <c r="Y21" s="33" t="s">
        <v>702</v>
      </c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</row>
    <row r="22" spans="1:38" x14ac:dyDescent="0.25">
      <c r="A22" s="31" t="s">
        <v>701</v>
      </c>
      <c r="B22" s="30">
        <v>-44</v>
      </c>
      <c r="C22" s="30">
        <v>-42</v>
      </c>
      <c r="D22" s="30">
        <v>-41</v>
      </c>
      <c r="E22" s="30">
        <v>-38</v>
      </c>
      <c r="F22" s="30">
        <v>-23</v>
      </c>
      <c r="G22" s="30">
        <v>-46</v>
      </c>
      <c r="H22" s="30">
        <v>9.5</v>
      </c>
      <c r="I22" s="30">
        <v>164</v>
      </c>
      <c r="J22" s="30">
        <v>-11.5</v>
      </c>
      <c r="K22" s="30">
        <v>216</v>
      </c>
      <c r="L22" s="30">
        <v>-7.8</v>
      </c>
      <c r="M22" s="30">
        <v>230</v>
      </c>
      <c r="N22" s="30">
        <v>-6.7</v>
      </c>
      <c r="O22" s="30">
        <v>80</v>
      </c>
      <c r="P22" s="30">
        <v>78</v>
      </c>
      <c r="Q22" s="30">
        <v>130</v>
      </c>
      <c r="R22" s="30" t="s">
        <v>155</v>
      </c>
      <c r="S22" s="30">
        <v>6.8</v>
      </c>
      <c r="T22" s="30" t="s">
        <v>41</v>
      </c>
      <c r="U22" s="34">
        <v>2</v>
      </c>
      <c r="Y22" s="31" t="s">
        <v>701</v>
      </c>
      <c r="Z22" s="37">
        <v>-17.600000000000001</v>
      </c>
      <c r="AA22" s="37">
        <v>-16.3</v>
      </c>
      <c r="AB22" s="37">
        <v>-8.6999999999999993</v>
      </c>
      <c r="AC22" s="37">
        <v>3.3</v>
      </c>
      <c r="AD22" s="37">
        <v>12.2</v>
      </c>
      <c r="AE22" s="37">
        <v>18.399999999999999</v>
      </c>
      <c r="AF22" s="37">
        <v>20.3</v>
      </c>
      <c r="AG22" s="37">
        <v>17.2</v>
      </c>
      <c r="AH22" s="37">
        <v>11.3</v>
      </c>
      <c r="AI22" s="37">
        <v>3.2</v>
      </c>
      <c r="AJ22" s="37">
        <v>-7.5</v>
      </c>
      <c r="AK22" s="37">
        <v>-15.1</v>
      </c>
      <c r="AL22" s="37">
        <v>1.7</v>
      </c>
    </row>
    <row r="23" spans="1:38" x14ac:dyDescent="0.25">
      <c r="A23" s="31" t="s">
        <v>748</v>
      </c>
      <c r="B23" s="30">
        <v>-44</v>
      </c>
      <c r="C23" s="30">
        <v>-40</v>
      </c>
      <c r="D23" s="30">
        <v>-39</v>
      </c>
      <c r="E23" s="30">
        <v>-36</v>
      </c>
      <c r="F23" s="30">
        <v>-21</v>
      </c>
      <c r="G23" s="30">
        <v>-52</v>
      </c>
      <c r="H23" s="30">
        <v>9.3000000000000007</v>
      </c>
      <c r="I23" s="30">
        <v>163</v>
      </c>
      <c r="J23" s="30">
        <v>-11.1</v>
      </c>
      <c r="K23" s="30">
        <v>213</v>
      </c>
      <c r="L23" s="30">
        <v>-7.5</v>
      </c>
      <c r="M23" s="30">
        <v>230</v>
      </c>
      <c r="N23" s="30">
        <v>-6.3</v>
      </c>
      <c r="O23" s="30">
        <v>78</v>
      </c>
      <c r="P23" s="30">
        <v>75</v>
      </c>
      <c r="Q23" s="30">
        <v>117</v>
      </c>
      <c r="R23" s="30" t="s">
        <v>155</v>
      </c>
      <c r="S23" s="30">
        <v>4</v>
      </c>
      <c r="T23" s="30">
        <v>3.4</v>
      </c>
      <c r="U23" s="34">
        <v>2</v>
      </c>
      <c r="Y23" s="31" t="s">
        <v>700</v>
      </c>
      <c r="Z23" s="37">
        <v>-16.3</v>
      </c>
      <c r="AA23" s="37">
        <v>-14.4</v>
      </c>
      <c r="AB23" s="37">
        <v>-7.1</v>
      </c>
      <c r="AC23" s="37">
        <v>3.6</v>
      </c>
      <c r="AD23" s="37">
        <v>12.3</v>
      </c>
      <c r="AE23" s="37">
        <v>17.8</v>
      </c>
      <c r="AF23" s="37">
        <v>19.8</v>
      </c>
      <c r="AG23" s="37">
        <v>17</v>
      </c>
      <c r="AH23" s="37">
        <v>10.9</v>
      </c>
      <c r="AI23" s="37">
        <v>3.3</v>
      </c>
      <c r="AJ23" s="37">
        <v>-6.5</v>
      </c>
      <c r="AK23" s="37">
        <v>-13.5</v>
      </c>
      <c r="AL23" s="37">
        <v>2.2000000000000002</v>
      </c>
    </row>
    <row r="24" spans="1:38" x14ac:dyDescent="0.25">
      <c r="A24" s="31" t="s">
        <v>699</v>
      </c>
      <c r="B24" s="30">
        <v>-27</v>
      </c>
      <c r="C24" s="30">
        <v>-26</v>
      </c>
      <c r="D24" s="30">
        <v>-25</v>
      </c>
      <c r="E24" s="30">
        <v>-23</v>
      </c>
      <c r="F24" s="30">
        <v>-14</v>
      </c>
      <c r="G24" s="30">
        <v>-35</v>
      </c>
      <c r="H24" s="30">
        <v>5.9</v>
      </c>
      <c r="I24" s="30">
        <v>149</v>
      </c>
      <c r="J24" s="30">
        <v>-6</v>
      </c>
      <c r="K24" s="30">
        <v>223</v>
      </c>
      <c r="L24" s="30">
        <v>-2.7</v>
      </c>
      <c r="M24" s="30">
        <v>242</v>
      </c>
      <c r="N24" s="30">
        <v>-1.7</v>
      </c>
      <c r="O24" s="30">
        <v>59</v>
      </c>
      <c r="P24" s="30">
        <v>55</v>
      </c>
      <c r="Q24" s="30">
        <v>121</v>
      </c>
      <c r="R24" s="30" t="s">
        <v>185</v>
      </c>
      <c r="S24" s="30">
        <v>7</v>
      </c>
      <c r="T24" s="30">
        <v>4.5</v>
      </c>
      <c r="U24" s="34">
        <v>2</v>
      </c>
      <c r="Y24" s="31" t="s">
        <v>699</v>
      </c>
      <c r="Z24" s="37">
        <v>-9.1999999999999993</v>
      </c>
      <c r="AA24" s="37">
        <v>-8.1</v>
      </c>
      <c r="AB24" s="37">
        <v>-3.2</v>
      </c>
      <c r="AC24" s="37">
        <v>3.2</v>
      </c>
      <c r="AD24" s="37">
        <v>9.5</v>
      </c>
      <c r="AE24" s="37">
        <v>14.6</v>
      </c>
      <c r="AF24" s="37">
        <v>16.899999999999999</v>
      </c>
      <c r="AG24" s="37">
        <v>15.5</v>
      </c>
      <c r="AH24" s="37">
        <v>10.7</v>
      </c>
      <c r="AI24" s="37">
        <v>4.0999999999999996</v>
      </c>
      <c r="AJ24" s="37">
        <v>-3.2</v>
      </c>
      <c r="AK24" s="37">
        <v>-7.9</v>
      </c>
      <c r="AL24" s="37">
        <v>3.6</v>
      </c>
    </row>
    <row r="25" spans="1:38" x14ac:dyDescent="0.25">
      <c r="A25" s="31" t="s">
        <v>749</v>
      </c>
      <c r="B25" s="30">
        <v>-45</v>
      </c>
      <c r="C25" s="30">
        <v>-42</v>
      </c>
      <c r="D25" s="30">
        <v>-41</v>
      </c>
      <c r="E25" s="30">
        <v>-35</v>
      </c>
      <c r="F25" s="30">
        <v>-21</v>
      </c>
      <c r="G25" s="30">
        <v>-52</v>
      </c>
      <c r="H25" s="30">
        <v>11.3</v>
      </c>
      <c r="I25" s="30">
        <v>163</v>
      </c>
      <c r="J25" s="30">
        <v>-11.3</v>
      </c>
      <c r="K25" s="30">
        <v>213</v>
      </c>
      <c r="L25" s="30">
        <v>-7.6</v>
      </c>
      <c r="M25" s="30">
        <v>229</v>
      </c>
      <c r="N25" s="30">
        <v>-6.5</v>
      </c>
      <c r="O25" s="30">
        <v>78</v>
      </c>
      <c r="P25" s="30">
        <v>75</v>
      </c>
      <c r="Q25" s="30">
        <v>182</v>
      </c>
      <c r="R25" s="30" t="s">
        <v>155</v>
      </c>
      <c r="S25" s="30">
        <v>5</v>
      </c>
      <c r="T25" s="30">
        <v>1.9</v>
      </c>
      <c r="U25" s="34">
        <v>2</v>
      </c>
      <c r="Y25" s="31" t="s">
        <v>698</v>
      </c>
      <c r="Z25" s="37">
        <v>-16.600000000000001</v>
      </c>
      <c r="AA25" s="37">
        <v>-14.8</v>
      </c>
      <c r="AB25" s="37">
        <v>-7.5</v>
      </c>
      <c r="AC25" s="37">
        <v>3.8</v>
      </c>
      <c r="AD25" s="37">
        <v>12.3</v>
      </c>
      <c r="AE25" s="37">
        <v>17.7</v>
      </c>
      <c r="AF25" s="37">
        <v>19.8</v>
      </c>
      <c r="AG25" s="37">
        <v>17.100000000000001</v>
      </c>
      <c r="AH25" s="37">
        <v>10.9</v>
      </c>
      <c r="AI25" s="37">
        <v>3.4</v>
      </c>
      <c r="AJ25" s="37">
        <v>-6.4</v>
      </c>
      <c r="AK25" s="37">
        <v>-13.5</v>
      </c>
      <c r="AL25" s="37">
        <v>2.2000000000000002</v>
      </c>
    </row>
    <row r="26" spans="1:38" x14ac:dyDescent="0.25">
      <c r="A26" s="31" t="s">
        <v>750</v>
      </c>
      <c r="B26" s="30">
        <v>-43</v>
      </c>
      <c r="C26" s="30">
        <v>-41</v>
      </c>
      <c r="D26" s="30">
        <v>-40</v>
      </c>
      <c r="E26" s="30">
        <v>-36</v>
      </c>
      <c r="F26" s="30">
        <v>-18</v>
      </c>
      <c r="G26" s="30">
        <v>-49</v>
      </c>
      <c r="H26" s="30">
        <v>11.3</v>
      </c>
      <c r="I26" s="30">
        <v>159</v>
      </c>
      <c r="J26" s="30">
        <v>-10.199999999999999</v>
      </c>
      <c r="K26" s="30">
        <v>211</v>
      </c>
      <c r="L26" s="30">
        <v>-6.7</v>
      </c>
      <c r="M26" s="30">
        <v>227</v>
      </c>
      <c r="N26" s="30">
        <v>-5.5</v>
      </c>
      <c r="O26" s="30">
        <v>74</v>
      </c>
      <c r="P26" s="30">
        <v>69</v>
      </c>
      <c r="Q26" s="30">
        <v>258</v>
      </c>
      <c r="R26" s="30" t="s">
        <v>150</v>
      </c>
      <c r="S26" s="30">
        <v>5.3</v>
      </c>
      <c r="T26" s="30">
        <v>2.5</v>
      </c>
      <c r="U26" s="34">
        <v>2</v>
      </c>
      <c r="Y26" s="31" t="s">
        <v>697</v>
      </c>
      <c r="Z26" s="37">
        <v>-14.3</v>
      </c>
      <c r="AA26" s="37">
        <v>-13.4</v>
      </c>
      <c r="AB26" s="37">
        <v>-7.1</v>
      </c>
      <c r="AC26" s="37">
        <v>4.0999999999999996</v>
      </c>
      <c r="AD26" s="37">
        <v>12.4</v>
      </c>
      <c r="AE26" s="37">
        <v>17.600000000000001</v>
      </c>
      <c r="AF26" s="37">
        <v>19.3</v>
      </c>
      <c r="AG26" s="37">
        <v>16.8</v>
      </c>
      <c r="AH26" s="37">
        <v>11.1</v>
      </c>
      <c r="AI26" s="37">
        <v>4</v>
      </c>
      <c r="AJ26" s="37">
        <v>-5.3</v>
      </c>
      <c r="AK26" s="37">
        <v>-11.7</v>
      </c>
      <c r="AL26" s="37">
        <v>2.8</v>
      </c>
    </row>
    <row r="27" spans="1:38" x14ac:dyDescent="0.25">
      <c r="A27" s="31" t="s">
        <v>696</v>
      </c>
      <c r="B27" s="30">
        <v>-43</v>
      </c>
      <c r="C27" s="30">
        <v>-42</v>
      </c>
      <c r="D27" s="30">
        <v>-42</v>
      </c>
      <c r="E27" s="30">
        <v>-40</v>
      </c>
      <c r="F27" s="30">
        <v>-28</v>
      </c>
      <c r="G27" s="30">
        <v>-48</v>
      </c>
      <c r="H27" s="30">
        <v>12.3</v>
      </c>
      <c r="I27" s="30">
        <v>175</v>
      </c>
      <c r="J27" s="30">
        <v>-14</v>
      </c>
      <c r="K27" s="30">
        <v>237</v>
      </c>
      <c r="L27" s="30">
        <v>-9.1999999999999993</v>
      </c>
      <c r="M27" s="30">
        <v>258</v>
      </c>
      <c r="N27" s="30">
        <v>-7.8</v>
      </c>
      <c r="O27" s="30">
        <v>81</v>
      </c>
      <c r="P27" s="30">
        <v>79</v>
      </c>
      <c r="Q27" s="30">
        <v>81</v>
      </c>
      <c r="R27" s="30" t="s">
        <v>165</v>
      </c>
      <c r="S27" s="30">
        <v>1.8</v>
      </c>
      <c r="T27" s="30">
        <v>1.7</v>
      </c>
      <c r="U27" s="34">
        <v>2</v>
      </c>
      <c r="Y27" s="31" t="s">
        <v>696</v>
      </c>
      <c r="Z27" s="37">
        <v>-22.8</v>
      </c>
      <c r="AA27" s="37">
        <v>-18.8</v>
      </c>
      <c r="AB27" s="37">
        <v>-9.1999999999999993</v>
      </c>
      <c r="AC27" s="37">
        <v>2.2999999999999998</v>
      </c>
      <c r="AD27" s="37">
        <v>9.5</v>
      </c>
      <c r="AE27" s="37">
        <v>14.2</v>
      </c>
      <c r="AF27" s="37">
        <v>15.5</v>
      </c>
      <c r="AG27" s="37">
        <v>13.3</v>
      </c>
      <c r="AH27" s="37">
        <v>7.9</v>
      </c>
      <c r="AI27" s="37">
        <v>0.2</v>
      </c>
      <c r="AJ27" s="37">
        <v>-11.4</v>
      </c>
      <c r="AK27" s="37">
        <v>-19.899999999999999</v>
      </c>
      <c r="AL27" s="37">
        <v>-1.6</v>
      </c>
    </row>
    <row r="28" spans="1:38" x14ac:dyDescent="0.25">
      <c r="A28" s="31" t="s">
        <v>695</v>
      </c>
      <c r="B28" s="30">
        <v>-46</v>
      </c>
      <c r="C28" s="30">
        <v>-44</v>
      </c>
      <c r="D28" s="30">
        <v>-44</v>
      </c>
      <c r="E28" s="30">
        <v>-42</v>
      </c>
      <c r="F28" s="30">
        <v>-34</v>
      </c>
      <c r="G28" s="30">
        <v>-55</v>
      </c>
      <c r="H28" s="30">
        <v>11.5</v>
      </c>
      <c r="I28" s="30">
        <v>191</v>
      </c>
      <c r="J28" s="30">
        <v>-17.600000000000001</v>
      </c>
      <c r="K28" s="30">
        <v>256</v>
      </c>
      <c r="L28" s="30">
        <v>-12</v>
      </c>
      <c r="M28" s="30">
        <v>274</v>
      </c>
      <c r="N28" s="30">
        <v>-10.7</v>
      </c>
      <c r="O28" s="30">
        <v>81</v>
      </c>
      <c r="P28" s="30">
        <v>80</v>
      </c>
      <c r="Q28" s="30">
        <v>15</v>
      </c>
      <c r="R28" s="30" t="s">
        <v>146</v>
      </c>
      <c r="S28" s="30">
        <v>1.5</v>
      </c>
      <c r="T28" s="30">
        <v>1.7</v>
      </c>
      <c r="U28" s="34">
        <v>2</v>
      </c>
      <c r="Y28" s="31" t="s">
        <v>694</v>
      </c>
      <c r="Z28" s="37">
        <v>-27.5</v>
      </c>
      <c r="AA28" s="37">
        <v>-23.6</v>
      </c>
      <c r="AB28" s="37">
        <v>-12.2</v>
      </c>
      <c r="AC28" s="37">
        <v>-0.2</v>
      </c>
      <c r="AD28" s="37">
        <v>7</v>
      </c>
      <c r="AE28" s="37">
        <v>12.7</v>
      </c>
      <c r="AF28" s="37">
        <v>14.6</v>
      </c>
      <c r="AG28" s="37">
        <v>12.4</v>
      </c>
      <c r="AH28" s="37">
        <v>6.4</v>
      </c>
      <c r="AI28" s="37">
        <v>-2.9</v>
      </c>
      <c r="AJ28" s="37">
        <v>-15.5</v>
      </c>
      <c r="AK28" s="37">
        <v>-24.6</v>
      </c>
      <c r="AL28" s="37">
        <v>-4.4000000000000004</v>
      </c>
    </row>
    <row r="29" spans="1:38" x14ac:dyDescent="0.25">
      <c r="A29" s="31" t="s">
        <v>693</v>
      </c>
      <c r="B29" s="30">
        <v>-42</v>
      </c>
      <c r="C29" s="30">
        <v>-41</v>
      </c>
      <c r="D29" s="30">
        <v>-40</v>
      </c>
      <c r="E29" s="30">
        <v>-38</v>
      </c>
      <c r="F29" s="30">
        <v>-26</v>
      </c>
      <c r="G29" s="30">
        <v>-46</v>
      </c>
      <c r="H29" s="30">
        <v>11.1</v>
      </c>
      <c r="I29" s="30">
        <v>168</v>
      </c>
      <c r="J29" s="30">
        <v>-13</v>
      </c>
      <c r="K29" s="30">
        <v>231</v>
      </c>
      <c r="L29" s="30">
        <v>-8.3000000000000007</v>
      </c>
      <c r="M29" s="30">
        <v>249</v>
      </c>
      <c r="N29" s="30">
        <v>-7.3</v>
      </c>
      <c r="O29" s="30">
        <v>79</v>
      </c>
      <c r="P29" s="30">
        <v>71</v>
      </c>
      <c r="Q29" s="30">
        <v>46</v>
      </c>
      <c r="R29" s="30" t="s">
        <v>142</v>
      </c>
      <c r="S29" s="30">
        <v>2.2999999999999998</v>
      </c>
      <c r="T29" s="30">
        <v>9.1</v>
      </c>
      <c r="U29" s="34">
        <v>2</v>
      </c>
      <c r="Y29" s="31" t="s">
        <v>693</v>
      </c>
      <c r="Z29" s="37">
        <v>-21.1</v>
      </c>
      <c r="AA29" s="37">
        <v>-17.5</v>
      </c>
      <c r="AB29" s="37">
        <v>-7.2</v>
      </c>
      <c r="AC29" s="37">
        <v>3.5</v>
      </c>
      <c r="AD29" s="37">
        <v>10</v>
      </c>
      <c r="AE29" s="37">
        <v>14.9</v>
      </c>
      <c r="AF29" s="37">
        <v>16.3</v>
      </c>
      <c r="AG29" s="37">
        <v>13.9</v>
      </c>
      <c r="AH29" s="37">
        <v>8.5</v>
      </c>
      <c r="AI29" s="37">
        <v>1.1000000000000001</v>
      </c>
      <c r="AJ29" s="37">
        <v>-10.1</v>
      </c>
      <c r="AK29" s="37">
        <v>-18.3</v>
      </c>
      <c r="AL29" s="37">
        <v>-0.5</v>
      </c>
    </row>
    <row r="30" spans="1:38" x14ac:dyDescent="0.25">
      <c r="A30" s="31" t="s">
        <v>692</v>
      </c>
      <c r="B30" s="30">
        <v>-44</v>
      </c>
      <c r="C30" s="30">
        <v>-42</v>
      </c>
      <c r="D30" s="30">
        <v>-41</v>
      </c>
      <c r="E30" s="30">
        <v>-38</v>
      </c>
      <c r="F30" s="30">
        <v>-23</v>
      </c>
      <c r="G30" s="30">
        <v>-49</v>
      </c>
      <c r="H30" s="30">
        <v>9.6</v>
      </c>
      <c r="I30" s="30">
        <v>165</v>
      </c>
      <c r="J30" s="30">
        <v>-11.8</v>
      </c>
      <c r="K30" s="30">
        <v>215</v>
      </c>
      <c r="L30" s="30">
        <v>-8.1</v>
      </c>
      <c r="M30" s="30">
        <v>228</v>
      </c>
      <c r="N30" s="30">
        <v>-7</v>
      </c>
      <c r="O30" s="30">
        <v>80</v>
      </c>
      <c r="P30" s="30">
        <v>79</v>
      </c>
      <c r="Q30" s="30">
        <v>76</v>
      </c>
      <c r="R30" s="30" t="s">
        <v>155</v>
      </c>
      <c r="S30" s="30">
        <v>6</v>
      </c>
      <c r="T30" s="30">
        <v>4.8</v>
      </c>
      <c r="U30" s="34">
        <v>2</v>
      </c>
      <c r="Y30" s="31" t="s">
        <v>692</v>
      </c>
      <c r="Z30" s="37">
        <v>-17.7</v>
      </c>
      <c r="AA30" s="37">
        <v>-16.899999999999999</v>
      </c>
      <c r="AB30" s="37">
        <v>-9.8000000000000007</v>
      </c>
      <c r="AC30" s="37">
        <v>3.3</v>
      </c>
      <c r="AD30" s="37">
        <v>12.5</v>
      </c>
      <c r="AE30" s="37">
        <v>18.600000000000001</v>
      </c>
      <c r="AF30" s="37">
        <v>20.5</v>
      </c>
      <c r="AG30" s="37">
        <v>17.399999999999999</v>
      </c>
      <c r="AH30" s="37">
        <v>11.6</v>
      </c>
      <c r="AI30" s="37">
        <v>3</v>
      </c>
      <c r="AJ30" s="37">
        <v>-7.4</v>
      </c>
      <c r="AK30" s="37">
        <v>-15.1</v>
      </c>
      <c r="AL30" s="37">
        <v>1.7</v>
      </c>
    </row>
    <row r="31" spans="1:38" x14ac:dyDescent="0.25">
      <c r="A31" s="31" t="s">
        <v>751</v>
      </c>
      <c r="B31" s="30">
        <v>-43</v>
      </c>
      <c r="C31" s="30">
        <v>-41</v>
      </c>
      <c r="D31" s="30">
        <v>-41</v>
      </c>
      <c r="E31" s="30">
        <v>-35</v>
      </c>
      <c r="F31" s="30">
        <v>-21</v>
      </c>
      <c r="G31" s="30">
        <v>-49</v>
      </c>
      <c r="H31" s="30">
        <v>9.5</v>
      </c>
      <c r="I31" s="30">
        <v>160</v>
      </c>
      <c r="J31" s="30">
        <v>-11.3</v>
      </c>
      <c r="K31" s="30">
        <v>206</v>
      </c>
      <c r="L31" s="30">
        <v>-7.9</v>
      </c>
      <c r="M31" s="30">
        <v>221</v>
      </c>
      <c r="N31" s="30">
        <v>-6.7</v>
      </c>
      <c r="O31" s="30">
        <v>79</v>
      </c>
      <c r="P31" s="30">
        <v>76</v>
      </c>
      <c r="Q31" s="30">
        <v>98</v>
      </c>
      <c r="R31" s="30" t="s">
        <v>150</v>
      </c>
      <c r="S31" s="30">
        <v>7.2</v>
      </c>
      <c r="T31" s="30">
        <v>4.3</v>
      </c>
      <c r="U31" s="34">
        <v>2</v>
      </c>
      <c r="Y31" s="31" t="s">
        <v>691</v>
      </c>
      <c r="Z31" s="37">
        <v>-16.2</v>
      </c>
      <c r="AA31" s="37">
        <v>-14.9</v>
      </c>
      <c r="AB31" s="37">
        <v>-7.8</v>
      </c>
      <c r="AC31" s="37">
        <v>4.5999999999999996</v>
      </c>
      <c r="AD31" s="37">
        <v>13.3</v>
      </c>
      <c r="AE31" s="37">
        <v>18.8</v>
      </c>
      <c r="AF31" s="37">
        <v>20.6</v>
      </c>
      <c r="AG31" s="37">
        <v>18</v>
      </c>
      <c r="AH31" s="37">
        <v>11.9</v>
      </c>
      <c r="AI31" s="37">
        <v>4.0999999999999996</v>
      </c>
      <c r="AJ31" s="37">
        <v>-5.7</v>
      </c>
      <c r="AK31" s="37">
        <v>-13.2</v>
      </c>
      <c r="AL31" s="37">
        <v>2.8</v>
      </c>
    </row>
    <row r="32" spans="1:38" x14ac:dyDescent="0.25">
      <c r="A32" s="31" t="s">
        <v>752</v>
      </c>
      <c r="B32" s="30">
        <v>-43</v>
      </c>
      <c r="C32" s="30">
        <v>-40</v>
      </c>
      <c r="D32" s="30">
        <v>-39</v>
      </c>
      <c r="E32" s="30">
        <v>-36</v>
      </c>
      <c r="F32" s="30">
        <v>-22</v>
      </c>
      <c r="G32" s="30">
        <v>-48</v>
      </c>
      <c r="H32" s="30">
        <v>9.1999999999999993</v>
      </c>
      <c r="I32" s="30">
        <v>163</v>
      </c>
      <c r="J32" s="30">
        <v>-12.2</v>
      </c>
      <c r="K32" s="30">
        <v>206</v>
      </c>
      <c r="L32" s="30">
        <v>-8.8000000000000007</v>
      </c>
      <c r="M32" s="30">
        <v>221</v>
      </c>
      <c r="N32" s="30">
        <v>-7.6</v>
      </c>
      <c r="O32" s="30">
        <v>81</v>
      </c>
      <c r="P32" s="30">
        <v>79</v>
      </c>
      <c r="Q32" s="30">
        <v>94</v>
      </c>
      <c r="R32" s="30" t="s">
        <v>150</v>
      </c>
      <c r="S32" s="30">
        <v>5</v>
      </c>
      <c r="T32" s="30">
        <v>3.5</v>
      </c>
      <c r="U32" s="34">
        <v>2</v>
      </c>
      <c r="Y32" s="31" t="s">
        <v>690</v>
      </c>
      <c r="Z32" s="37">
        <v>-17.600000000000001</v>
      </c>
      <c r="AA32" s="37">
        <v>-16.3</v>
      </c>
      <c r="AB32" s="37">
        <v>-8.8000000000000007</v>
      </c>
      <c r="AC32" s="37">
        <v>4.5</v>
      </c>
      <c r="AD32" s="37">
        <v>13.3</v>
      </c>
      <c r="AE32" s="37">
        <v>19.3</v>
      </c>
      <c r="AF32" s="37">
        <v>21.1</v>
      </c>
      <c r="AG32" s="37">
        <v>18.2</v>
      </c>
      <c r="AH32" s="37">
        <v>12</v>
      </c>
      <c r="AI32" s="37">
        <v>3.6</v>
      </c>
      <c r="AJ32" s="37">
        <v>-6.7</v>
      </c>
      <c r="AK32" s="37">
        <v>-14.2</v>
      </c>
      <c r="AL32" s="37">
        <v>2.4</v>
      </c>
    </row>
    <row r="33" spans="1:38" x14ac:dyDescent="0.25">
      <c r="A33" s="31" t="s">
        <v>689</v>
      </c>
      <c r="B33" s="30">
        <v>-43</v>
      </c>
      <c r="C33" s="30">
        <v>-41</v>
      </c>
      <c r="D33" s="30">
        <v>-40</v>
      </c>
      <c r="E33" s="30">
        <v>-37</v>
      </c>
      <c r="F33" s="30">
        <v>-22</v>
      </c>
      <c r="G33" s="30">
        <v>-48</v>
      </c>
      <c r="H33" s="30">
        <v>8.6</v>
      </c>
      <c r="I33" s="30">
        <v>170</v>
      </c>
      <c r="J33" s="30">
        <v>-11</v>
      </c>
      <c r="K33" s="30">
        <v>225</v>
      </c>
      <c r="L33" s="30">
        <v>-7.3</v>
      </c>
      <c r="M33" s="30">
        <v>240</v>
      </c>
      <c r="N33" s="30">
        <v>-6.3</v>
      </c>
      <c r="O33" s="30">
        <v>79</v>
      </c>
      <c r="P33" s="30">
        <v>77</v>
      </c>
      <c r="Q33" s="30">
        <v>145</v>
      </c>
      <c r="R33" s="30" t="s">
        <v>155</v>
      </c>
      <c r="S33" s="30" t="s">
        <v>41</v>
      </c>
      <c r="T33" s="30" t="s">
        <v>41</v>
      </c>
      <c r="U33" s="34">
        <v>2</v>
      </c>
      <c r="Y33" s="31" t="s">
        <v>689</v>
      </c>
      <c r="Z33" s="37">
        <v>-16.5</v>
      </c>
      <c r="AA33" s="37">
        <v>-15.3</v>
      </c>
      <c r="AB33" s="37">
        <v>-8.6999999999999993</v>
      </c>
      <c r="AC33" s="37">
        <v>1.7</v>
      </c>
      <c r="AD33" s="37">
        <v>10.5</v>
      </c>
      <c r="AE33" s="37">
        <v>16.7</v>
      </c>
      <c r="AF33" s="37">
        <v>18.8</v>
      </c>
      <c r="AG33" s="37">
        <v>15.8</v>
      </c>
      <c r="AH33" s="37">
        <v>10.3</v>
      </c>
      <c r="AI33" s="37">
        <v>2.4</v>
      </c>
      <c r="AJ33" s="37">
        <v>-8.1</v>
      </c>
      <c r="AK33" s="37">
        <v>-15</v>
      </c>
      <c r="AL33" s="37">
        <v>1.1000000000000001</v>
      </c>
    </row>
    <row r="34" spans="1:38" x14ac:dyDescent="0.25">
      <c r="A34" s="33" t="s">
        <v>688</v>
      </c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34"/>
      <c r="Y34" s="33" t="s">
        <v>687</v>
      </c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</row>
    <row r="35" spans="1:38" x14ac:dyDescent="0.25">
      <c r="A35" s="31" t="s">
        <v>753</v>
      </c>
      <c r="B35" s="30">
        <v>-41</v>
      </c>
      <c r="C35" s="30">
        <v>-38</v>
      </c>
      <c r="D35" s="30">
        <v>-38</v>
      </c>
      <c r="E35" s="30">
        <v>-36</v>
      </c>
      <c r="F35" s="30">
        <v>-30</v>
      </c>
      <c r="G35" s="30">
        <v>-50</v>
      </c>
      <c r="H35" s="30">
        <v>12.4</v>
      </c>
      <c r="I35" s="30">
        <v>167</v>
      </c>
      <c r="J35" s="30">
        <v>-17.2</v>
      </c>
      <c r="K35" s="30">
        <v>211</v>
      </c>
      <c r="L35" s="30">
        <v>-12.7</v>
      </c>
      <c r="M35" s="30">
        <v>227</v>
      </c>
      <c r="N35" s="30">
        <v>-11.2</v>
      </c>
      <c r="O35" s="30">
        <v>77</v>
      </c>
      <c r="P35" s="30">
        <v>71</v>
      </c>
      <c r="Q35" s="30">
        <v>58</v>
      </c>
      <c r="R35" s="30" t="s">
        <v>140</v>
      </c>
      <c r="S35" s="30">
        <v>2.5</v>
      </c>
      <c r="T35" s="30">
        <v>2.6</v>
      </c>
      <c r="U35" s="34">
        <v>4</v>
      </c>
      <c r="Y35" s="31" t="s">
        <v>686</v>
      </c>
      <c r="Z35" s="37">
        <v>-26</v>
      </c>
      <c r="AA35" s="37">
        <v>-20.5</v>
      </c>
      <c r="AB35" s="37">
        <v>-9.4</v>
      </c>
      <c r="AC35" s="37">
        <v>3.9</v>
      </c>
      <c r="AD35" s="37">
        <v>12</v>
      </c>
      <c r="AE35" s="37">
        <v>18.100000000000001</v>
      </c>
      <c r="AF35" s="37">
        <v>21.1</v>
      </c>
      <c r="AG35" s="37">
        <v>18.7</v>
      </c>
      <c r="AH35" s="37">
        <v>11.9</v>
      </c>
      <c r="AI35" s="37">
        <v>2.2999999999999998</v>
      </c>
      <c r="AJ35" s="37">
        <v>-11.6</v>
      </c>
      <c r="AK35" s="37">
        <v>-23.2</v>
      </c>
      <c r="AL35" s="37">
        <v>-0.2</v>
      </c>
    </row>
    <row r="36" spans="1:38" x14ac:dyDescent="0.25">
      <c r="A36" s="31" t="s">
        <v>685</v>
      </c>
      <c r="B36" s="30">
        <v>-43</v>
      </c>
      <c r="C36" s="30">
        <v>-40</v>
      </c>
      <c r="D36" s="30">
        <v>-41</v>
      </c>
      <c r="E36" s="30">
        <v>-37</v>
      </c>
      <c r="F36" s="30">
        <v>-32</v>
      </c>
      <c r="G36" s="30">
        <v>-48</v>
      </c>
      <c r="H36" s="30">
        <v>10</v>
      </c>
      <c r="I36" s="30">
        <v>174</v>
      </c>
      <c r="J36" s="30">
        <v>-16.399999999999999</v>
      </c>
      <c r="K36" s="30">
        <v>223</v>
      </c>
      <c r="L36" s="30">
        <v>-11.9</v>
      </c>
      <c r="M36" s="30">
        <v>236</v>
      </c>
      <c r="N36" s="30">
        <v>-10.7</v>
      </c>
      <c r="O36" s="30">
        <v>76</v>
      </c>
      <c r="P36" s="30">
        <v>73</v>
      </c>
      <c r="Q36" s="30">
        <v>53</v>
      </c>
      <c r="R36" s="30" t="s">
        <v>140</v>
      </c>
      <c r="S36" s="30">
        <v>2.7</v>
      </c>
      <c r="T36" s="30">
        <v>2.9</v>
      </c>
      <c r="U36" s="34">
        <v>4</v>
      </c>
      <c r="Y36" s="31" t="s">
        <v>685</v>
      </c>
      <c r="Z36" s="37">
        <v>-27.1</v>
      </c>
      <c r="AA36" s="37">
        <v>-20.7</v>
      </c>
      <c r="AB36" s="37">
        <v>-10.9</v>
      </c>
      <c r="AC36" s="37">
        <v>1.8</v>
      </c>
      <c r="AD36" s="37">
        <v>10.3</v>
      </c>
      <c r="AE36" s="37">
        <v>17.399999999999999</v>
      </c>
      <c r="AF36" s="37">
        <v>21.1</v>
      </c>
      <c r="AG36" s="37">
        <v>18.7</v>
      </c>
      <c r="AH36" s="37">
        <v>11.7</v>
      </c>
      <c r="AI36" s="37">
        <v>1.3</v>
      </c>
      <c r="AJ36" s="37">
        <v>-13.5</v>
      </c>
      <c r="AK36" s="37">
        <v>-24</v>
      </c>
      <c r="AL36" s="37">
        <v>-1.2</v>
      </c>
    </row>
    <row r="37" spans="1:38" x14ac:dyDescent="0.25">
      <c r="A37" s="31" t="s">
        <v>754</v>
      </c>
      <c r="B37" s="30">
        <v>-37</v>
      </c>
      <c r="C37" s="30">
        <v>-35</v>
      </c>
      <c r="D37" s="30">
        <v>-35</v>
      </c>
      <c r="E37" s="30">
        <v>-33</v>
      </c>
      <c r="F37" s="30">
        <v>-27</v>
      </c>
      <c r="G37" s="30">
        <v>-45</v>
      </c>
      <c r="H37" s="30">
        <v>10.7</v>
      </c>
      <c r="I37" s="30">
        <v>164</v>
      </c>
      <c r="J37" s="30">
        <v>-14.9</v>
      </c>
      <c r="K37" s="30">
        <v>210</v>
      </c>
      <c r="L37" s="30">
        <v>-10.7</v>
      </c>
      <c r="M37" s="30">
        <v>225</v>
      </c>
      <c r="N37" s="30">
        <v>-9.4</v>
      </c>
      <c r="O37" s="30">
        <v>73</v>
      </c>
      <c r="P37" s="30">
        <v>65</v>
      </c>
      <c r="Q37" s="30">
        <v>43</v>
      </c>
      <c r="R37" s="30" t="s">
        <v>140</v>
      </c>
      <c r="S37" s="30">
        <v>2.6</v>
      </c>
      <c r="T37" s="30">
        <v>2</v>
      </c>
      <c r="U37" s="34">
        <v>4</v>
      </c>
      <c r="Y37" s="31" t="s">
        <v>684</v>
      </c>
      <c r="Z37" s="37">
        <v>-22.3</v>
      </c>
      <c r="AA37" s="37">
        <v>-17.2</v>
      </c>
      <c r="AB37" s="37">
        <v>-7.2</v>
      </c>
      <c r="AC37" s="37">
        <v>4.2</v>
      </c>
      <c r="AD37" s="37">
        <v>12.5</v>
      </c>
      <c r="AE37" s="37">
        <v>19.100000000000001</v>
      </c>
      <c r="AF37" s="37">
        <v>21.7</v>
      </c>
      <c r="AG37" s="37">
        <v>19.399999999999999</v>
      </c>
      <c r="AH37" s="37">
        <v>12.4</v>
      </c>
      <c r="AI37" s="37">
        <v>2.9</v>
      </c>
      <c r="AJ37" s="37">
        <v>-10.4</v>
      </c>
      <c r="AK37" s="37">
        <v>-20.399999999999999</v>
      </c>
      <c r="AL37" s="37">
        <v>1.2</v>
      </c>
    </row>
    <row r="38" spans="1:38" x14ac:dyDescent="0.25">
      <c r="A38" s="31" t="s">
        <v>755</v>
      </c>
      <c r="B38" s="30">
        <v>-45</v>
      </c>
      <c r="C38" s="30">
        <v>-44</v>
      </c>
      <c r="D38" s="30">
        <v>-42</v>
      </c>
      <c r="E38" s="30">
        <v>-40</v>
      </c>
      <c r="F38" s="30">
        <v>-35</v>
      </c>
      <c r="G38" s="30">
        <v>-52</v>
      </c>
      <c r="H38" s="30">
        <v>9.9</v>
      </c>
      <c r="I38" s="30">
        <v>189</v>
      </c>
      <c r="J38" s="30">
        <v>-19.899999999999999</v>
      </c>
      <c r="K38" s="30">
        <v>240</v>
      </c>
      <c r="L38" s="30">
        <v>-14.7</v>
      </c>
      <c r="M38" s="30">
        <v>255</v>
      </c>
      <c r="N38" s="30">
        <v>-13.3</v>
      </c>
      <c r="O38" s="30">
        <v>75</v>
      </c>
      <c r="P38" s="30">
        <v>71</v>
      </c>
      <c r="Q38" s="30">
        <v>49</v>
      </c>
      <c r="R38" s="30" t="s">
        <v>138</v>
      </c>
      <c r="S38" s="30">
        <v>2</v>
      </c>
      <c r="T38" s="30">
        <v>1.7</v>
      </c>
      <c r="U38" s="34">
        <v>4</v>
      </c>
      <c r="Y38" s="31" t="s">
        <v>683</v>
      </c>
      <c r="Z38" s="37">
        <v>-30.2</v>
      </c>
      <c r="AA38" s="37">
        <v>-23.8</v>
      </c>
      <c r="AB38" s="37">
        <v>-12.4</v>
      </c>
      <c r="AC38" s="37">
        <v>-0.4</v>
      </c>
      <c r="AD38" s="37">
        <v>8.5</v>
      </c>
      <c r="AE38" s="37">
        <v>15.5</v>
      </c>
      <c r="AF38" s="37">
        <v>18.100000000000001</v>
      </c>
      <c r="AG38" s="37">
        <v>15.5</v>
      </c>
      <c r="AH38" s="37">
        <v>8.4</v>
      </c>
      <c r="AI38" s="37">
        <v>-2.5</v>
      </c>
      <c r="AJ38" s="37">
        <v>-19.2</v>
      </c>
      <c r="AK38" s="37">
        <v>-29.5</v>
      </c>
      <c r="AL38" s="37">
        <v>-4.3</v>
      </c>
    </row>
    <row r="39" spans="1:38" x14ac:dyDescent="0.25">
      <c r="A39" s="31" t="s">
        <v>682</v>
      </c>
      <c r="B39" s="30">
        <v>-41</v>
      </c>
      <c r="C39" s="30">
        <v>-40</v>
      </c>
      <c r="D39" s="30">
        <v>-39</v>
      </c>
      <c r="E39" s="30">
        <v>-37</v>
      </c>
      <c r="F39" s="30">
        <v>-33</v>
      </c>
      <c r="G39" s="30">
        <v>-51</v>
      </c>
      <c r="H39" s="30">
        <v>11.2</v>
      </c>
      <c r="I39" s="30">
        <v>179</v>
      </c>
      <c r="J39" s="30">
        <v>-17.100000000000001</v>
      </c>
      <c r="K39" s="30">
        <v>229</v>
      </c>
      <c r="L39" s="30">
        <v>-12.4</v>
      </c>
      <c r="M39" s="30">
        <v>242</v>
      </c>
      <c r="N39" s="30">
        <v>-11.2</v>
      </c>
      <c r="O39" s="30">
        <v>75</v>
      </c>
      <c r="P39" s="30">
        <v>72</v>
      </c>
      <c r="Q39" s="30">
        <v>58</v>
      </c>
      <c r="R39" s="30" t="s">
        <v>140</v>
      </c>
      <c r="S39" s="30" t="s">
        <v>41</v>
      </c>
      <c r="T39" s="30" t="s">
        <v>41</v>
      </c>
      <c r="U39" s="34">
        <v>4</v>
      </c>
      <c r="Y39" s="31" t="s">
        <v>682</v>
      </c>
      <c r="Z39" s="37">
        <v>-28</v>
      </c>
      <c r="AA39" s="37">
        <v>-21.8</v>
      </c>
      <c r="AB39" s="37">
        <v>-12.1</v>
      </c>
      <c r="AC39" s="37">
        <v>0.8</v>
      </c>
      <c r="AD39" s="37">
        <v>9.5</v>
      </c>
      <c r="AE39" s="37">
        <v>16.3</v>
      </c>
      <c r="AF39" s="37">
        <v>19.899999999999999</v>
      </c>
      <c r="AG39" s="37">
        <v>17.600000000000001</v>
      </c>
      <c r="AH39" s="37">
        <v>10.8</v>
      </c>
      <c r="AI39" s="37">
        <v>0.5</v>
      </c>
      <c r="AJ39" s="37">
        <v>-14.3</v>
      </c>
      <c r="AK39" s="37">
        <v>-25.3</v>
      </c>
      <c r="AL39" s="37">
        <v>-2.2000000000000002</v>
      </c>
    </row>
    <row r="40" spans="1:38" x14ac:dyDescent="0.25">
      <c r="A40" s="31" t="s">
        <v>681</v>
      </c>
      <c r="B40" s="30">
        <v>-44</v>
      </c>
      <c r="C40" s="30">
        <v>-43</v>
      </c>
      <c r="D40" s="30">
        <v>-42</v>
      </c>
      <c r="E40" s="30">
        <v>-41</v>
      </c>
      <c r="F40" s="30">
        <v>-36</v>
      </c>
      <c r="G40" s="30">
        <v>-51</v>
      </c>
      <c r="H40" s="30">
        <v>14.8</v>
      </c>
      <c r="I40" s="30">
        <v>186</v>
      </c>
      <c r="J40" s="30">
        <v>-18.399999999999999</v>
      </c>
      <c r="K40" s="30">
        <v>236</v>
      </c>
      <c r="L40" s="30">
        <v>-13.6</v>
      </c>
      <c r="M40" s="30">
        <v>252</v>
      </c>
      <c r="N40" s="30">
        <v>-12.2</v>
      </c>
      <c r="O40" s="30">
        <v>76</v>
      </c>
      <c r="P40" s="30">
        <v>69</v>
      </c>
      <c r="Q40" s="30">
        <v>71</v>
      </c>
      <c r="R40" s="30" t="s">
        <v>185</v>
      </c>
      <c r="S40" s="30">
        <v>1.3</v>
      </c>
      <c r="T40" s="30" t="s">
        <v>41</v>
      </c>
      <c r="U40" s="34">
        <v>4</v>
      </c>
      <c r="Y40" s="31" t="s">
        <v>681</v>
      </c>
      <c r="Z40" s="37">
        <v>-30.7</v>
      </c>
      <c r="AA40" s="37">
        <v>-24.3</v>
      </c>
      <c r="AB40" s="37">
        <v>-12.8</v>
      </c>
      <c r="AC40" s="37">
        <v>-0.4</v>
      </c>
      <c r="AD40" s="37">
        <v>8.8000000000000007</v>
      </c>
      <c r="AE40" s="37">
        <v>15.2</v>
      </c>
      <c r="AF40" s="37">
        <v>18.7</v>
      </c>
      <c r="AG40" s="37">
        <v>16.2</v>
      </c>
      <c r="AH40" s="37">
        <v>9.1</v>
      </c>
      <c r="AI40" s="37">
        <v>-1</v>
      </c>
      <c r="AJ40" s="37">
        <v>-16.8</v>
      </c>
      <c r="AK40" s="37">
        <v>-28.1</v>
      </c>
      <c r="AL40" s="37">
        <v>-3.8</v>
      </c>
    </row>
    <row r="41" spans="1:38" x14ac:dyDescent="0.25">
      <c r="A41" s="31" t="s">
        <v>680</v>
      </c>
      <c r="B41" s="30">
        <v>-46</v>
      </c>
      <c r="C41" s="30">
        <v>-44</v>
      </c>
      <c r="D41" s="30">
        <v>-43</v>
      </c>
      <c r="E41" s="30">
        <v>-42</v>
      </c>
      <c r="F41" s="30">
        <v>-36</v>
      </c>
      <c r="G41" s="30">
        <v>-52</v>
      </c>
      <c r="H41" s="30">
        <v>15.9</v>
      </c>
      <c r="I41" s="30">
        <v>183</v>
      </c>
      <c r="J41" s="30">
        <v>-18.899999999999999</v>
      </c>
      <c r="K41" s="30">
        <v>233</v>
      </c>
      <c r="L41" s="30">
        <v>-14</v>
      </c>
      <c r="M41" s="30">
        <v>247</v>
      </c>
      <c r="N41" s="30">
        <v>-12.7</v>
      </c>
      <c r="O41" s="30">
        <v>73</v>
      </c>
      <c r="P41" s="30">
        <v>66</v>
      </c>
      <c r="Q41" s="30">
        <v>50</v>
      </c>
      <c r="R41" s="30" t="s">
        <v>142</v>
      </c>
      <c r="S41" s="30">
        <v>1.5</v>
      </c>
      <c r="T41" s="30" t="s">
        <v>41</v>
      </c>
      <c r="U41" s="34">
        <v>4</v>
      </c>
      <c r="Y41" s="31" t="s">
        <v>680</v>
      </c>
      <c r="Z41" s="37">
        <v>-31.2</v>
      </c>
      <c r="AA41" s="37">
        <v>-24.6</v>
      </c>
      <c r="AB41" s="37">
        <v>-14</v>
      </c>
      <c r="AC41" s="37">
        <v>0.3</v>
      </c>
      <c r="AD41" s="37">
        <v>9.1</v>
      </c>
      <c r="AE41" s="37">
        <v>15.9</v>
      </c>
      <c r="AF41" s="37">
        <v>19.3</v>
      </c>
      <c r="AG41" s="37">
        <v>16.899999999999999</v>
      </c>
      <c r="AH41" s="37">
        <v>9.9</v>
      </c>
      <c r="AI41" s="37">
        <v>-0.6</v>
      </c>
      <c r="AJ41" s="37">
        <v>-16.3</v>
      </c>
      <c r="AK41" s="37">
        <v>-28.2</v>
      </c>
      <c r="AL41" s="37">
        <v>-3.6</v>
      </c>
    </row>
    <row r="42" spans="1:38" x14ac:dyDescent="0.25">
      <c r="A42" s="31" t="s">
        <v>679</v>
      </c>
      <c r="B42" s="30">
        <v>-47</v>
      </c>
      <c r="C42" s="30">
        <v>-46</v>
      </c>
      <c r="D42" s="30">
        <v>-46</v>
      </c>
      <c r="E42" s="30">
        <v>-43</v>
      </c>
      <c r="F42" s="30">
        <v>-36</v>
      </c>
      <c r="G42" s="30">
        <v>-54</v>
      </c>
      <c r="H42" s="30">
        <v>13.6</v>
      </c>
      <c r="I42" s="30">
        <v>196</v>
      </c>
      <c r="J42" s="30">
        <v>-18.8</v>
      </c>
      <c r="K42" s="30">
        <v>244</v>
      </c>
      <c r="L42" s="30">
        <v>-14.3</v>
      </c>
      <c r="M42" s="30">
        <v>261</v>
      </c>
      <c r="N42" s="30">
        <v>-12.8</v>
      </c>
      <c r="O42" s="30">
        <v>66</v>
      </c>
      <c r="P42" s="30">
        <v>59</v>
      </c>
      <c r="Q42" s="30">
        <v>57</v>
      </c>
      <c r="R42" s="30" t="s">
        <v>140</v>
      </c>
      <c r="S42" s="30">
        <v>5.2</v>
      </c>
      <c r="T42" s="30">
        <v>1.7</v>
      </c>
      <c r="U42" s="34">
        <v>4</v>
      </c>
      <c r="Y42" s="31" t="s">
        <v>679</v>
      </c>
      <c r="Z42" s="37">
        <v>-31.1</v>
      </c>
      <c r="AA42" s="37">
        <v>-24.9</v>
      </c>
      <c r="AB42" s="37">
        <v>-15.1</v>
      </c>
      <c r="AC42" s="37">
        <v>-1.9</v>
      </c>
      <c r="AD42" s="37">
        <v>7.5</v>
      </c>
      <c r="AE42" s="37">
        <v>14.4</v>
      </c>
      <c r="AF42" s="37">
        <v>17.899999999999999</v>
      </c>
      <c r="AG42" s="37">
        <v>15.3</v>
      </c>
      <c r="AH42" s="37">
        <v>8.1999999999999993</v>
      </c>
      <c r="AI42" s="37">
        <v>-3.3</v>
      </c>
      <c r="AJ42" s="37">
        <v>-18.8</v>
      </c>
      <c r="AK42" s="37">
        <v>-28.9</v>
      </c>
      <c r="AL42" s="37">
        <v>-5.0999999999999996</v>
      </c>
    </row>
    <row r="43" spans="1:38" x14ac:dyDescent="0.25">
      <c r="A43" s="31" t="s">
        <v>678</v>
      </c>
      <c r="B43" s="30">
        <v>-43</v>
      </c>
      <c r="C43" s="30">
        <v>-42</v>
      </c>
      <c r="D43" s="30">
        <v>-40</v>
      </c>
      <c r="E43" s="30">
        <v>-38</v>
      </c>
      <c r="F43" s="30">
        <v>-33</v>
      </c>
      <c r="G43" s="30">
        <v>-51</v>
      </c>
      <c r="H43" s="30">
        <v>15.6</v>
      </c>
      <c r="I43" s="30">
        <v>195</v>
      </c>
      <c r="J43" s="30">
        <v>-17</v>
      </c>
      <c r="K43" s="30">
        <v>245</v>
      </c>
      <c r="L43" s="30">
        <v>-12.7</v>
      </c>
      <c r="M43" s="30">
        <v>262</v>
      </c>
      <c r="N43" s="30">
        <v>-11.3</v>
      </c>
      <c r="O43" s="30">
        <v>79</v>
      </c>
      <c r="P43" s="30">
        <v>71</v>
      </c>
      <c r="Q43" s="30">
        <v>47</v>
      </c>
      <c r="R43" s="30" t="s">
        <v>165</v>
      </c>
      <c r="S43" s="30" t="s">
        <v>41</v>
      </c>
      <c r="T43" s="30">
        <v>2</v>
      </c>
      <c r="U43" s="34">
        <v>4</v>
      </c>
      <c r="Y43" s="31" t="s">
        <v>678</v>
      </c>
      <c r="Z43" s="37">
        <v>-27.6</v>
      </c>
      <c r="AA43" s="37">
        <v>-22</v>
      </c>
      <c r="AB43" s="37">
        <v>-13</v>
      </c>
      <c r="AC43" s="37">
        <v>-1.2</v>
      </c>
      <c r="AD43" s="37">
        <v>7.5</v>
      </c>
      <c r="AE43" s="37">
        <v>15</v>
      </c>
      <c r="AF43" s="37">
        <v>18.3</v>
      </c>
      <c r="AG43" s="37">
        <v>15</v>
      </c>
      <c r="AH43" s="37">
        <v>7.9</v>
      </c>
      <c r="AI43" s="37">
        <v>-3.4</v>
      </c>
      <c r="AJ43" s="37">
        <v>-17.600000000000001</v>
      </c>
      <c r="AK43" s="37">
        <v>-26.3</v>
      </c>
      <c r="AL43" s="37">
        <v>-4</v>
      </c>
    </row>
    <row r="44" spans="1:38" x14ac:dyDescent="0.25">
      <c r="A44" s="31" t="s">
        <v>677</v>
      </c>
      <c r="B44" s="30">
        <v>-41</v>
      </c>
      <c r="C44" s="30">
        <v>-39</v>
      </c>
      <c r="D44" s="30">
        <v>-38</v>
      </c>
      <c r="E44" s="30">
        <v>-36</v>
      </c>
      <c r="F44" s="30">
        <v>-32</v>
      </c>
      <c r="G44" s="30">
        <v>-50</v>
      </c>
      <c r="H44" s="30">
        <v>9.5</v>
      </c>
      <c r="I44" s="30">
        <v>176</v>
      </c>
      <c r="J44" s="30">
        <v>-16.399999999999999</v>
      </c>
      <c r="K44" s="30">
        <v>226</v>
      </c>
      <c r="L44" s="30">
        <v>-11.8</v>
      </c>
      <c r="M44" s="30">
        <v>240</v>
      </c>
      <c r="N44" s="30">
        <v>-10.7</v>
      </c>
      <c r="O44" s="30">
        <v>79</v>
      </c>
      <c r="P44" s="30">
        <v>74</v>
      </c>
      <c r="Q44" s="30">
        <v>78</v>
      </c>
      <c r="R44" s="30" t="s">
        <v>140</v>
      </c>
      <c r="S44" s="30">
        <v>3.3</v>
      </c>
      <c r="T44" s="30" t="s">
        <v>41</v>
      </c>
      <c r="U44" s="34">
        <v>4</v>
      </c>
      <c r="Y44" s="31" t="s">
        <v>677</v>
      </c>
      <c r="Z44" s="37">
        <v>-26.9</v>
      </c>
      <c r="AA44" s="37">
        <v>-20.9</v>
      </c>
      <c r="AB44" s="37">
        <v>-11.6</v>
      </c>
      <c r="AC44" s="37">
        <v>1.3</v>
      </c>
      <c r="AD44" s="37">
        <v>9.6999999999999993</v>
      </c>
      <c r="AE44" s="37">
        <v>16.7</v>
      </c>
      <c r="AF44" s="37">
        <v>20.3</v>
      </c>
      <c r="AG44" s="37">
        <v>18.100000000000001</v>
      </c>
      <c r="AH44" s="37">
        <v>11.3</v>
      </c>
      <c r="AI44" s="37">
        <v>1.1000000000000001</v>
      </c>
      <c r="AJ44" s="37">
        <v>-13.4</v>
      </c>
      <c r="AK44" s="37">
        <v>-24</v>
      </c>
      <c r="AL44" s="37">
        <v>-1.5</v>
      </c>
    </row>
    <row r="45" spans="1:38" x14ac:dyDescent="0.25">
      <c r="A45" s="31" t="s">
        <v>676</v>
      </c>
      <c r="B45" s="30">
        <v>-46</v>
      </c>
      <c r="C45" s="30">
        <v>-44</v>
      </c>
      <c r="D45" s="30">
        <v>-43</v>
      </c>
      <c r="E45" s="30">
        <v>-42</v>
      </c>
      <c r="F45" s="30">
        <v>-35</v>
      </c>
      <c r="G45" s="30">
        <v>-52</v>
      </c>
      <c r="H45" s="30">
        <v>14.7</v>
      </c>
      <c r="I45" s="30">
        <v>190</v>
      </c>
      <c r="J45" s="30">
        <v>-18.3</v>
      </c>
      <c r="K45" s="30">
        <v>238</v>
      </c>
      <c r="L45" s="30">
        <v>-13.8</v>
      </c>
      <c r="M45" s="30">
        <v>254</v>
      </c>
      <c r="N45" s="30">
        <v>-12.4</v>
      </c>
      <c r="O45" s="30">
        <v>69</v>
      </c>
      <c r="P45" s="30">
        <v>63</v>
      </c>
      <c r="Q45" s="30">
        <v>35</v>
      </c>
      <c r="R45" s="30" t="s">
        <v>41</v>
      </c>
      <c r="S45" s="30">
        <v>3.5</v>
      </c>
      <c r="T45" s="30" t="s">
        <v>41</v>
      </c>
      <c r="U45" s="34">
        <v>4</v>
      </c>
      <c r="Y45" s="31" t="s">
        <v>676</v>
      </c>
      <c r="Z45" s="37">
        <v>-30.1</v>
      </c>
      <c r="AA45" s="37">
        <v>-23.8</v>
      </c>
      <c r="AB45" s="37">
        <v>-13.6</v>
      </c>
      <c r="AC45" s="37">
        <v>-0.6</v>
      </c>
      <c r="AD45" s="37">
        <v>8.4</v>
      </c>
      <c r="AE45" s="37">
        <v>15.3</v>
      </c>
      <c r="AF45" s="37">
        <v>18.600000000000001</v>
      </c>
      <c r="AG45" s="37">
        <v>15.7</v>
      </c>
      <c r="AH45" s="37">
        <v>9</v>
      </c>
      <c r="AI45" s="37">
        <v>-2.4</v>
      </c>
      <c r="AJ45" s="37">
        <v>-17.8</v>
      </c>
      <c r="AK45" s="37">
        <v>-28</v>
      </c>
      <c r="AL45" s="37">
        <v>-4.0999999999999996</v>
      </c>
    </row>
    <row r="46" spans="1:38" x14ac:dyDescent="0.25">
      <c r="A46" s="31" t="s">
        <v>675</v>
      </c>
      <c r="B46" s="30">
        <v>-46</v>
      </c>
      <c r="C46" s="30">
        <v>-44</v>
      </c>
      <c r="D46" s="30">
        <v>-44</v>
      </c>
      <c r="E46" s="30">
        <v>-43</v>
      </c>
      <c r="F46" s="30">
        <v>-37</v>
      </c>
      <c r="G46" s="30">
        <v>-55</v>
      </c>
      <c r="H46" s="30">
        <v>15</v>
      </c>
      <c r="I46" s="30">
        <v>183</v>
      </c>
      <c r="J46" s="30">
        <v>-19.2</v>
      </c>
      <c r="K46" s="30">
        <v>232</v>
      </c>
      <c r="L46" s="30">
        <v>-14.3</v>
      </c>
      <c r="M46" s="30">
        <v>246</v>
      </c>
      <c r="N46" s="30">
        <v>-13</v>
      </c>
      <c r="O46" s="30">
        <v>74</v>
      </c>
      <c r="P46" s="30">
        <v>68</v>
      </c>
      <c r="Q46" s="30">
        <v>58</v>
      </c>
      <c r="R46" s="30" t="s">
        <v>138</v>
      </c>
      <c r="S46" s="30">
        <v>2.1</v>
      </c>
      <c r="T46" s="30">
        <v>1.6</v>
      </c>
      <c r="U46" s="34">
        <v>4</v>
      </c>
      <c r="Y46" s="31" t="s">
        <v>675</v>
      </c>
      <c r="Z46" s="37">
        <v>-31.8</v>
      </c>
      <c r="AA46" s="37">
        <v>-25.1</v>
      </c>
      <c r="AB46" s="37">
        <v>-13.3</v>
      </c>
      <c r="AC46" s="37">
        <v>0.2</v>
      </c>
      <c r="AD46" s="37">
        <v>9.4</v>
      </c>
      <c r="AE46" s="37">
        <v>16</v>
      </c>
      <c r="AF46" s="37">
        <v>19.3</v>
      </c>
      <c r="AG46" s="37">
        <v>17</v>
      </c>
      <c r="AH46" s="37">
        <v>9.9</v>
      </c>
      <c r="AI46" s="37">
        <v>-0.3</v>
      </c>
      <c r="AJ46" s="37">
        <v>-16.8</v>
      </c>
      <c r="AK46" s="37">
        <v>-29</v>
      </c>
      <c r="AL46" s="37">
        <v>-3.7</v>
      </c>
    </row>
    <row r="47" spans="1:38" x14ac:dyDescent="0.25">
      <c r="A47" s="31" t="s">
        <v>674</v>
      </c>
      <c r="B47" s="30">
        <v>-43</v>
      </c>
      <c r="C47" s="30">
        <v>-41</v>
      </c>
      <c r="D47" s="30">
        <v>-41</v>
      </c>
      <c r="E47" s="30">
        <v>-40</v>
      </c>
      <c r="F47" s="30">
        <v>-34</v>
      </c>
      <c r="G47" s="30">
        <v>-50</v>
      </c>
      <c r="H47" s="30">
        <v>10.4</v>
      </c>
      <c r="I47" s="30">
        <v>198</v>
      </c>
      <c r="J47" s="30">
        <v>-17.600000000000001</v>
      </c>
      <c r="K47" s="30">
        <v>247</v>
      </c>
      <c r="L47" s="30">
        <v>-13.3</v>
      </c>
      <c r="M47" s="30">
        <v>265</v>
      </c>
      <c r="N47" s="30">
        <v>-11.7</v>
      </c>
      <c r="O47" s="30">
        <v>70</v>
      </c>
      <c r="P47" s="30">
        <v>64</v>
      </c>
      <c r="Q47" s="30">
        <v>64</v>
      </c>
      <c r="R47" s="30" t="s">
        <v>165</v>
      </c>
      <c r="S47" s="30">
        <v>3.2</v>
      </c>
      <c r="T47" s="30">
        <v>2.5</v>
      </c>
      <c r="U47" s="34">
        <v>4</v>
      </c>
      <c r="Y47" s="31" t="s">
        <v>674</v>
      </c>
      <c r="Z47" s="37">
        <v>-29.3</v>
      </c>
      <c r="AA47" s="37">
        <v>-23.1</v>
      </c>
      <c r="AB47" s="37">
        <v>-13.9</v>
      </c>
      <c r="AC47" s="37">
        <v>2.2999999999999998</v>
      </c>
      <c r="AD47" s="37">
        <v>7</v>
      </c>
      <c r="AE47" s="37">
        <v>13.8</v>
      </c>
      <c r="AF47" s="37">
        <v>17.100000000000001</v>
      </c>
      <c r="AG47" s="37">
        <v>14.5</v>
      </c>
      <c r="AH47" s="37">
        <v>8</v>
      </c>
      <c r="AI47" s="37">
        <v>-3.3</v>
      </c>
      <c r="AJ47" s="37">
        <v>-18</v>
      </c>
      <c r="AK47" s="37">
        <v>-27.3</v>
      </c>
      <c r="AL47" s="37">
        <v>-4.7</v>
      </c>
    </row>
    <row r="48" spans="1:38" x14ac:dyDescent="0.25">
      <c r="A48" s="31" t="s">
        <v>673</v>
      </c>
      <c r="B48" s="30">
        <v>-43</v>
      </c>
      <c r="C48" s="30">
        <v>-40</v>
      </c>
      <c r="D48" s="30">
        <v>-39</v>
      </c>
      <c r="E48" s="30">
        <v>-37</v>
      </c>
      <c r="F48" s="30">
        <v>-32</v>
      </c>
      <c r="G48" s="30">
        <v>-50</v>
      </c>
      <c r="H48" s="30">
        <v>12.5</v>
      </c>
      <c r="I48" s="30">
        <v>173</v>
      </c>
      <c r="J48" s="30">
        <v>-16.5</v>
      </c>
      <c r="K48" s="30">
        <v>222</v>
      </c>
      <c r="L48" s="30">
        <v>-11.9</v>
      </c>
      <c r="M48" s="30">
        <v>235</v>
      </c>
      <c r="N48" s="30">
        <v>-10.7</v>
      </c>
      <c r="O48" s="30">
        <v>76</v>
      </c>
      <c r="P48" s="30">
        <v>70</v>
      </c>
      <c r="Q48" s="30">
        <v>53</v>
      </c>
      <c r="R48" s="30" t="s">
        <v>142</v>
      </c>
      <c r="S48" s="30">
        <v>3.4</v>
      </c>
      <c r="T48" s="30" t="s">
        <v>41</v>
      </c>
      <c r="U48" s="34">
        <v>4</v>
      </c>
      <c r="Y48" s="31" t="s">
        <v>673</v>
      </c>
      <c r="Z48" s="37">
        <v>-26.9</v>
      </c>
      <c r="AA48" s="37">
        <v>-21.6</v>
      </c>
      <c r="AB48" s="37">
        <v>-11.5</v>
      </c>
      <c r="AC48" s="37">
        <v>2.1</v>
      </c>
      <c r="AD48" s="37">
        <v>10.4</v>
      </c>
      <c r="AE48" s="37">
        <v>17.100000000000001</v>
      </c>
      <c r="AF48" s="37">
        <v>20.9</v>
      </c>
      <c r="AG48" s="37">
        <v>18.8</v>
      </c>
      <c r="AH48" s="37">
        <v>11.9</v>
      </c>
      <c r="AI48" s="37">
        <v>1.8</v>
      </c>
      <c r="AJ48" s="37">
        <v>-12.4</v>
      </c>
      <c r="AK48" s="37">
        <v>-23.7</v>
      </c>
      <c r="AL48" s="37">
        <v>-1.1000000000000001</v>
      </c>
    </row>
    <row r="49" spans="1:38" x14ac:dyDescent="0.25">
      <c r="A49" s="31" t="s">
        <v>672</v>
      </c>
      <c r="B49" s="30">
        <v>-44</v>
      </c>
      <c r="C49" s="30">
        <v>-42</v>
      </c>
      <c r="D49" s="30">
        <v>-41</v>
      </c>
      <c r="E49" s="30">
        <v>-39</v>
      </c>
      <c r="F49" s="30">
        <v>-33</v>
      </c>
      <c r="G49" s="30">
        <v>-52</v>
      </c>
      <c r="H49" s="30">
        <v>12.2</v>
      </c>
      <c r="I49" s="30">
        <v>179</v>
      </c>
      <c r="J49" s="30">
        <v>-17.100000000000001</v>
      </c>
      <c r="K49" s="30">
        <v>229</v>
      </c>
      <c r="L49" s="30">
        <v>-12.4</v>
      </c>
      <c r="M49" s="30">
        <v>242</v>
      </c>
      <c r="N49" s="30">
        <v>-11.3</v>
      </c>
      <c r="O49" s="30">
        <v>70</v>
      </c>
      <c r="P49" s="30">
        <v>63</v>
      </c>
      <c r="Q49" s="30">
        <v>66</v>
      </c>
      <c r="R49" s="30" t="s">
        <v>140</v>
      </c>
      <c r="S49" s="30" t="s">
        <v>41</v>
      </c>
      <c r="T49" s="30" t="s">
        <v>41</v>
      </c>
      <c r="U49" s="34">
        <v>4</v>
      </c>
      <c r="Y49" s="31" t="s">
        <v>672</v>
      </c>
      <c r="Z49" s="37">
        <v>-27.7</v>
      </c>
      <c r="AA49" s="37">
        <v>-21.6</v>
      </c>
      <c r="AB49" s="37">
        <v>-12.1</v>
      </c>
      <c r="AC49" s="37">
        <v>1</v>
      </c>
      <c r="AD49" s="37">
        <v>9.6</v>
      </c>
      <c r="AE49" s="37">
        <v>16.600000000000001</v>
      </c>
      <c r="AF49" s="37">
        <v>20.2</v>
      </c>
      <c r="AG49" s="37">
        <v>17.7</v>
      </c>
      <c r="AH49" s="37">
        <v>10.6</v>
      </c>
      <c r="AI49" s="37">
        <v>0</v>
      </c>
      <c r="AJ49" s="37">
        <v>-14.9</v>
      </c>
      <c r="AK49" s="37">
        <v>-25.4</v>
      </c>
      <c r="AL49" s="37">
        <v>-2.2000000000000002</v>
      </c>
    </row>
    <row r="50" spans="1:38" x14ac:dyDescent="0.25">
      <c r="A50" s="31" t="s">
        <v>756</v>
      </c>
      <c r="B50" s="30">
        <v>-44</v>
      </c>
      <c r="C50" s="30">
        <v>-43</v>
      </c>
      <c r="D50" s="30">
        <v>-43</v>
      </c>
      <c r="E50" s="30">
        <v>-38</v>
      </c>
      <c r="F50" s="30">
        <v>-32</v>
      </c>
      <c r="G50" s="30">
        <v>-52</v>
      </c>
      <c r="H50" s="30">
        <v>14.9</v>
      </c>
      <c r="I50" s="30">
        <v>192</v>
      </c>
      <c r="J50" s="30">
        <v>-18.7</v>
      </c>
      <c r="K50" s="30">
        <v>245</v>
      </c>
      <c r="L50" s="30">
        <v>-13.7</v>
      </c>
      <c r="M50" s="30">
        <v>260</v>
      </c>
      <c r="N50" s="30">
        <v>-12.4</v>
      </c>
      <c r="O50" s="30">
        <v>73</v>
      </c>
      <c r="P50" s="30">
        <v>63</v>
      </c>
      <c r="Q50" s="30">
        <v>66</v>
      </c>
      <c r="R50" s="30" t="s">
        <v>140</v>
      </c>
      <c r="S50" s="30">
        <v>2.8</v>
      </c>
      <c r="T50" s="30">
        <v>2.6</v>
      </c>
      <c r="U50" s="34">
        <v>4</v>
      </c>
      <c r="Y50" s="31" t="s">
        <v>671</v>
      </c>
      <c r="Z50" s="37">
        <v>-27.6</v>
      </c>
      <c r="AA50" s="37">
        <v>-23.3</v>
      </c>
      <c r="AB50" s="37">
        <v>-13.3</v>
      </c>
      <c r="AC50" s="37">
        <v>-0.6</v>
      </c>
      <c r="AD50" s="37">
        <v>8.4</v>
      </c>
      <c r="AE50" s="37">
        <v>15.1</v>
      </c>
      <c r="AF50" s="37">
        <v>17.8</v>
      </c>
      <c r="AG50" s="37">
        <v>14.7</v>
      </c>
      <c r="AH50" s="37">
        <v>7.2</v>
      </c>
      <c r="AI50" s="37">
        <v>-3.6</v>
      </c>
      <c r="AJ50" s="37">
        <v>-18.7</v>
      </c>
      <c r="AK50" s="37">
        <v>-27.1</v>
      </c>
      <c r="AL50" s="37">
        <v>-4.2</v>
      </c>
    </row>
    <row r="51" spans="1:38" x14ac:dyDescent="0.25">
      <c r="A51" s="31" t="s">
        <v>670</v>
      </c>
      <c r="B51" s="30">
        <v>-52</v>
      </c>
      <c r="C51" s="30">
        <v>-49</v>
      </c>
      <c r="D51" s="30">
        <v>-47</v>
      </c>
      <c r="E51" s="30">
        <v>-45</v>
      </c>
      <c r="F51" s="30">
        <v>-40</v>
      </c>
      <c r="G51" s="30">
        <v>-58</v>
      </c>
      <c r="H51" s="30">
        <v>13.3</v>
      </c>
      <c r="I51" s="30">
        <v>213</v>
      </c>
      <c r="J51" s="30">
        <v>-20.8</v>
      </c>
      <c r="K51" s="30">
        <v>262</v>
      </c>
      <c r="L51" s="30">
        <v>-16.100000000000001</v>
      </c>
      <c r="M51" s="30">
        <v>278</v>
      </c>
      <c r="N51" s="30">
        <v>-14.7</v>
      </c>
      <c r="O51" s="30">
        <v>76</v>
      </c>
      <c r="P51" s="30">
        <v>72</v>
      </c>
      <c r="Q51" s="30">
        <v>77</v>
      </c>
      <c r="R51" s="30" t="s">
        <v>185</v>
      </c>
      <c r="S51" s="30" t="s">
        <v>41</v>
      </c>
      <c r="T51" s="30" t="s">
        <v>41</v>
      </c>
      <c r="U51" s="34">
        <v>4</v>
      </c>
      <c r="Y51" s="31" t="s">
        <v>670</v>
      </c>
      <c r="Z51" s="37">
        <v>-34.700000000000003</v>
      </c>
      <c r="AA51" s="37">
        <v>-28.9</v>
      </c>
      <c r="AB51" s="37">
        <v>-18.399999999999999</v>
      </c>
      <c r="AC51" s="37">
        <v>-5.4</v>
      </c>
      <c r="AD51" s="37">
        <v>5.3</v>
      </c>
      <c r="AE51" s="37">
        <v>13.2</v>
      </c>
      <c r="AF51" s="37">
        <v>16.8</v>
      </c>
      <c r="AG51" s="37">
        <v>13.4</v>
      </c>
      <c r="AH51" s="37">
        <v>5.7</v>
      </c>
      <c r="AI51" s="37">
        <v>-6.6</v>
      </c>
      <c r="AJ51" s="37">
        <v>-22.9</v>
      </c>
      <c r="AK51" s="37">
        <v>-32.9</v>
      </c>
      <c r="AL51" s="37">
        <v>-8</v>
      </c>
    </row>
    <row r="52" spans="1:38" x14ac:dyDescent="0.25">
      <c r="A52" s="31" t="s">
        <v>669</v>
      </c>
      <c r="B52" s="30">
        <v>-43</v>
      </c>
      <c r="C52" s="30">
        <v>-41</v>
      </c>
      <c r="D52" s="30">
        <v>-38</v>
      </c>
      <c r="E52" s="30">
        <v>-37</v>
      </c>
      <c r="F52" s="30">
        <v>-31</v>
      </c>
      <c r="G52" s="30">
        <v>-50</v>
      </c>
      <c r="H52" s="30">
        <v>12.8</v>
      </c>
      <c r="I52" s="30">
        <v>196</v>
      </c>
      <c r="J52" s="30">
        <v>-16.5</v>
      </c>
      <c r="K52" s="30">
        <v>245</v>
      </c>
      <c r="L52" s="30">
        <v>-12.4</v>
      </c>
      <c r="M52" s="30">
        <v>262</v>
      </c>
      <c r="N52" s="30">
        <v>-11</v>
      </c>
      <c r="O52" s="30">
        <v>69</v>
      </c>
      <c r="P52" s="30">
        <v>61</v>
      </c>
      <c r="Q52" s="30">
        <v>52</v>
      </c>
      <c r="R52" s="30" t="s">
        <v>140</v>
      </c>
      <c r="S52" s="30">
        <v>5.2</v>
      </c>
      <c r="T52" s="30">
        <v>2.6</v>
      </c>
      <c r="U52" s="34">
        <v>4</v>
      </c>
      <c r="Y52" s="31" t="s">
        <v>669</v>
      </c>
      <c r="Z52" s="37">
        <v>-26.4</v>
      </c>
      <c r="AA52" s="37">
        <v>-21.6</v>
      </c>
      <c r="AB52" s="37">
        <v>-13.4</v>
      </c>
      <c r="AC52" s="37">
        <v>-1.5</v>
      </c>
      <c r="AD52" s="37">
        <v>7.5</v>
      </c>
      <c r="AE52" s="37">
        <v>14.6</v>
      </c>
      <c r="AF52" s="37">
        <v>18.100000000000001</v>
      </c>
      <c r="AG52" s="37">
        <v>15.1</v>
      </c>
      <c r="AH52" s="37">
        <v>7.9</v>
      </c>
      <c r="AI52" s="37">
        <v>-3.4</v>
      </c>
      <c r="AJ52" s="37">
        <v>-17.2</v>
      </c>
      <c r="AK52" s="37">
        <v>-25.2</v>
      </c>
      <c r="AL52" s="37">
        <v>-3.8</v>
      </c>
    </row>
    <row r="53" spans="1:38" x14ac:dyDescent="0.25">
      <c r="A53" s="31" t="s">
        <v>668</v>
      </c>
      <c r="B53" s="30">
        <v>-48</v>
      </c>
      <c r="C53" s="30">
        <v>-46</v>
      </c>
      <c r="D53" s="30">
        <v>-44</v>
      </c>
      <c r="E53" s="30">
        <v>-42</v>
      </c>
      <c r="F53" s="30">
        <v>-37</v>
      </c>
      <c r="G53" s="30">
        <v>-54</v>
      </c>
      <c r="H53" s="30">
        <v>12.5</v>
      </c>
      <c r="I53" s="30">
        <v>208</v>
      </c>
      <c r="J53" s="30">
        <v>-19.2</v>
      </c>
      <c r="K53" s="30">
        <v>258</v>
      </c>
      <c r="L53" s="30">
        <v>-14.7</v>
      </c>
      <c r="M53" s="30">
        <v>274</v>
      </c>
      <c r="N53" s="30">
        <v>-13.3</v>
      </c>
      <c r="O53" s="30">
        <v>75</v>
      </c>
      <c r="P53" s="30">
        <v>71</v>
      </c>
      <c r="Q53" s="30">
        <v>62</v>
      </c>
      <c r="R53" s="30" t="s">
        <v>142</v>
      </c>
      <c r="S53" s="30">
        <v>5.3</v>
      </c>
      <c r="T53" s="30">
        <v>2.9</v>
      </c>
      <c r="U53" s="34">
        <v>4</v>
      </c>
      <c r="Y53" s="31" t="s">
        <v>668</v>
      </c>
      <c r="Z53" s="37">
        <v>-31.7</v>
      </c>
      <c r="AA53" s="37">
        <v>-25.9</v>
      </c>
      <c r="AB53" s="37">
        <v>-16.2</v>
      </c>
      <c r="AC53" s="37">
        <v>-3.8</v>
      </c>
      <c r="AD53" s="37">
        <v>6</v>
      </c>
      <c r="AE53" s="37">
        <v>13.4</v>
      </c>
      <c r="AF53" s="37">
        <v>17.100000000000001</v>
      </c>
      <c r="AG53" s="37">
        <v>13.9</v>
      </c>
      <c r="AH53" s="37">
        <v>6.3</v>
      </c>
      <c r="AI53" s="37">
        <v>-5.7</v>
      </c>
      <c r="AJ53" s="37">
        <v>-21.5</v>
      </c>
      <c r="AK53" s="37">
        <v>-30.2</v>
      </c>
      <c r="AL53" s="37">
        <v>-6.5</v>
      </c>
    </row>
    <row r="54" spans="1:38" x14ac:dyDescent="0.25">
      <c r="A54" s="31" t="s">
        <v>667</v>
      </c>
      <c r="B54" s="30">
        <v>-48</v>
      </c>
      <c r="C54" s="30">
        <v>-45</v>
      </c>
      <c r="D54" s="30">
        <v>-44</v>
      </c>
      <c r="E54" s="30">
        <v>-42</v>
      </c>
      <c r="F54" s="30">
        <v>-35</v>
      </c>
      <c r="G54" s="30">
        <v>-55</v>
      </c>
      <c r="H54" s="30">
        <v>16.100000000000001</v>
      </c>
      <c r="I54" s="30">
        <v>206</v>
      </c>
      <c r="J54" s="30">
        <v>-18.399999999999999</v>
      </c>
      <c r="K54" s="30">
        <v>255</v>
      </c>
      <c r="L54" s="30">
        <v>-14</v>
      </c>
      <c r="M54" s="30">
        <v>271</v>
      </c>
      <c r="N54" s="30">
        <v>-12.6</v>
      </c>
      <c r="O54" s="30">
        <v>67</v>
      </c>
      <c r="P54" s="30">
        <v>59</v>
      </c>
      <c r="Q54" s="30">
        <v>64</v>
      </c>
      <c r="R54" s="30" t="s">
        <v>140</v>
      </c>
      <c r="S54" s="30" t="s">
        <v>41</v>
      </c>
      <c r="T54" s="30" t="s">
        <v>41</v>
      </c>
      <c r="U54" s="34">
        <v>4</v>
      </c>
      <c r="Y54" s="31" t="s">
        <v>667</v>
      </c>
      <c r="Z54" s="37">
        <v>-30</v>
      </c>
      <c r="AA54" s="37">
        <v>-24.5</v>
      </c>
      <c r="AB54" s="37">
        <v>-15.9</v>
      </c>
      <c r="AC54" s="37">
        <v>-3.5</v>
      </c>
      <c r="AD54" s="37">
        <v>6.2</v>
      </c>
      <c r="AE54" s="37">
        <v>13.6</v>
      </c>
      <c r="AF54" s="37">
        <v>17.2</v>
      </c>
      <c r="AG54" s="37">
        <v>14.1</v>
      </c>
      <c r="AH54" s="37">
        <v>6.9</v>
      </c>
      <c r="AI54" s="37">
        <v>-5.0999999999999996</v>
      </c>
      <c r="AJ54" s="37">
        <v>-20.2</v>
      </c>
      <c r="AK54" s="37">
        <v>-28.3</v>
      </c>
      <c r="AL54" s="37">
        <v>-5.8</v>
      </c>
    </row>
    <row r="55" spans="1:38" x14ac:dyDescent="0.25">
      <c r="A55" s="31" t="s">
        <v>757</v>
      </c>
      <c r="B55" s="30">
        <v>-47</v>
      </c>
      <c r="C55" s="30">
        <v>-46</v>
      </c>
      <c r="D55" s="30">
        <v>-45</v>
      </c>
      <c r="E55" s="30">
        <v>-43</v>
      </c>
      <c r="F55" s="30">
        <v>-35</v>
      </c>
      <c r="G55" s="30">
        <v>-51</v>
      </c>
      <c r="H55" s="30">
        <v>8.1</v>
      </c>
      <c r="I55" s="30">
        <v>199</v>
      </c>
      <c r="J55" s="30">
        <v>-20.2</v>
      </c>
      <c r="K55" s="30">
        <v>252</v>
      </c>
      <c r="L55" s="30">
        <v>-15.1</v>
      </c>
      <c r="M55" s="30">
        <v>265</v>
      </c>
      <c r="N55" s="30">
        <v>-13.9</v>
      </c>
      <c r="O55" s="30">
        <v>76</v>
      </c>
      <c r="P55" s="30">
        <v>74</v>
      </c>
      <c r="Q55" s="30">
        <v>31</v>
      </c>
      <c r="R55" s="30" t="s">
        <v>165</v>
      </c>
      <c r="S55" s="30">
        <v>1.7</v>
      </c>
      <c r="T55" s="30">
        <v>1</v>
      </c>
      <c r="U55" s="34">
        <v>4</v>
      </c>
      <c r="Y55" s="31" t="s">
        <v>666</v>
      </c>
      <c r="Z55" s="37">
        <v>-31.3</v>
      </c>
      <c r="AA55" s="37">
        <v>-25.3</v>
      </c>
      <c r="AB55" s="37">
        <v>-14.1</v>
      </c>
      <c r="AC55" s="37">
        <v>-2.1</v>
      </c>
      <c r="AD55" s="37">
        <v>7.1</v>
      </c>
      <c r="AE55" s="37">
        <v>14.8</v>
      </c>
      <c r="AF55" s="37">
        <v>17.600000000000001</v>
      </c>
      <c r="AG55" s="37">
        <v>14.5</v>
      </c>
      <c r="AH55" s="37">
        <v>6.6</v>
      </c>
      <c r="AI55" s="37">
        <v>-4.8</v>
      </c>
      <c r="AJ55" s="37">
        <v>-20.6</v>
      </c>
      <c r="AK55" s="37">
        <v>-30.2</v>
      </c>
      <c r="AL55" s="37">
        <v>-5.6</v>
      </c>
    </row>
    <row r="56" spans="1:38" x14ac:dyDescent="0.25">
      <c r="A56" s="31" t="s">
        <v>758</v>
      </c>
      <c r="B56" s="30">
        <v>-45</v>
      </c>
      <c r="C56" s="30">
        <v>-44</v>
      </c>
      <c r="D56" s="30">
        <v>-43</v>
      </c>
      <c r="E56" s="30">
        <v>-40</v>
      </c>
      <c r="F56" s="30">
        <v>-31</v>
      </c>
      <c r="G56" s="30">
        <v>-51</v>
      </c>
      <c r="H56" s="30">
        <v>13</v>
      </c>
      <c r="I56" s="30">
        <v>180</v>
      </c>
      <c r="J56" s="30">
        <v>-17.899999999999999</v>
      </c>
      <c r="K56" s="30">
        <v>229</v>
      </c>
      <c r="L56" s="30">
        <v>-13.1</v>
      </c>
      <c r="M56" s="30">
        <v>245</v>
      </c>
      <c r="N56" s="30">
        <v>-11.7</v>
      </c>
      <c r="O56" s="30">
        <v>73</v>
      </c>
      <c r="P56" s="30">
        <v>66</v>
      </c>
      <c r="Q56" s="30">
        <v>38</v>
      </c>
      <c r="R56" s="30" t="s">
        <v>142</v>
      </c>
      <c r="S56" s="30">
        <v>3.7</v>
      </c>
      <c r="T56" s="30">
        <v>1.9</v>
      </c>
      <c r="U56" s="34">
        <v>4</v>
      </c>
      <c r="Y56" s="31" t="s">
        <v>665</v>
      </c>
      <c r="Z56" s="37">
        <v>-26.6</v>
      </c>
      <c r="AA56" s="37">
        <v>-21.5</v>
      </c>
      <c r="AB56" s="37">
        <v>-11.2</v>
      </c>
      <c r="AC56" s="37">
        <v>1.5</v>
      </c>
      <c r="AD56" s="37">
        <v>10.199999999999999</v>
      </c>
      <c r="AE56" s="37">
        <v>17.2</v>
      </c>
      <c r="AF56" s="37">
        <v>19.8</v>
      </c>
      <c r="AG56" s="37">
        <v>17</v>
      </c>
      <c r="AH56" s="37">
        <v>9.6999999999999993</v>
      </c>
      <c r="AI56" s="37">
        <v>-0.7</v>
      </c>
      <c r="AJ56" s="37">
        <v>-15.8</v>
      </c>
      <c r="AK56" s="37">
        <v>-25.1</v>
      </c>
      <c r="AL56" s="37">
        <v>-2.1</v>
      </c>
    </row>
    <row r="57" spans="1:38" x14ac:dyDescent="0.25">
      <c r="A57" s="31" t="s">
        <v>664</v>
      </c>
      <c r="B57" s="30">
        <v>-43</v>
      </c>
      <c r="C57" s="30">
        <v>-41</v>
      </c>
      <c r="D57" s="30">
        <v>-40</v>
      </c>
      <c r="E57" s="30">
        <v>-38</v>
      </c>
      <c r="F57" s="30">
        <v>-33</v>
      </c>
      <c r="G57" s="30">
        <v>-52</v>
      </c>
      <c r="H57" s="30">
        <v>13.4</v>
      </c>
      <c r="I57" s="30">
        <v>182</v>
      </c>
      <c r="J57" s="30">
        <v>-17</v>
      </c>
      <c r="K57" s="30">
        <v>233</v>
      </c>
      <c r="L57" s="30">
        <v>-12.5</v>
      </c>
      <c r="M57" s="30">
        <v>246</v>
      </c>
      <c r="N57" s="30">
        <v>-11.3</v>
      </c>
      <c r="O57" s="30" t="s">
        <v>41</v>
      </c>
      <c r="P57" s="30">
        <v>70</v>
      </c>
      <c r="Q57" s="30">
        <v>60</v>
      </c>
      <c r="R57" s="30" t="s">
        <v>140</v>
      </c>
      <c r="S57" s="30">
        <v>2.2999999999999998</v>
      </c>
      <c r="T57" s="30">
        <v>2.4</v>
      </c>
      <c r="U57" s="34">
        <v>4</v>
      </c>
      <c r="Y57" s="31" t="s">
        <v>664</v>
      </c>
      <c r="Z57" s="37">
        <v>-27.7</v>
      </c>
      <c r="AA57" s="37">
        <v>-21.9</v>
      </c>
      <c r="AB57" s="37">
        <v>-12.2</v>
      </c>
      <c r="AC57" s="37">
        <v>0.6</v>
      </c>
      <c r="AD57" s="37">
        <v>9.1</v>
      </c>
      <c r="AE57" s="37">
        <v>16.100000000000001</v>
      </c>
      <c r="AF57" s="37">
        <v>19.7</v>
      </c>
      <c r="AG57" s="37">
        <v>16.899999999999999</v>
      </c>
      <c r="AH57" s="37">
        <v>10</v>
      </c>
      <c r="AI57" s="37">
        <v>-0.8</v>
      </c>
      <c r="AJ57" s="37">
        <v>-15.7</v>
      </c>
      <c r="AK57" s="37">
        <v>-25.3</v>
      </c>
      <c r="AL57" s="37">
        <v>-2.6</v>
      </c>
    </row>
    <row r="58" spans="1:38" x14ac:dyDescent="0.25">
      <c r="A58" s="31" t="s">
        <v>759</v>
      </c>
      <c r="B58" s="30">
        <v>-45</v>
      </c>
      <c r="C58" s="30">
        <v>-43</v>
      </c>
      <c r="D58" s="30">
        <v>-44</v>
      </c>
      <c r="E58" s="30">
        <v>-42</v>
      </c>
      <c r="F58" s="30">
        <v>-36</v>
      </c>
      <c r="G58" s="30">
        <v>-53</v>
      </c>
      <c r="H58" s="30">
        <v>11</v>
      </c>
      <c r="I58" s="30">
        <v>193</v>
      </c>
      <c r="J58" s="30">
        <v>-19.8</v>
      </c>
      <c r="K58" s="30">
        <v>249</v>
      </c>
      <c r="L58" s="30">
        <v>-14.4</v>
      </c>
      <c r="M58" s="30">
        <v>264</v>
      </c>
      <c r="N58" s="30">
        <v>-13.1</v>
      </c>
      <c r="O58" s="30">
        <v>75</v>
      </c>
      <c r="P58" s="30">
        <v>69</v>
      </c>
      <c r="Q58" s="30">
        <v>65</v>
      </c>
      <c r="R58" s="30" t="s">
        <v>146</v>
      </c>
      <c r="S58" s="30">
        <v>1.6</v>
      </c>
      <c r="T58" s="30">
        <v>1.7</v>
      </c>
      <c r="U58" s="34">
        <v>4</v>
      </c>
      <c r="Y58" s="31" t="s">
        <v>663</v>
      </c>
      <c r="Z58" s="37">
        <v>-30.8</v>
      </c>
      <c r="AA58" s="37">
        <v>-24.3</v>
      </c>
      <c r="AB58" s="37">
        <v>-13.5</v>
      </c>
      <c r="AC58" s="37">
        <v>-1.5</v>
      </c>
      <c r="AD58" s="37">
        <v>7.3</v>
      </c>
      <c r="AE58" s="37">
        <v>14.3</v>
      </c>
      <c r="AF58" s="37">
        <v>17.2</v>
      </c>
      <c r="AG58" s="37">
        <v>14.6</v>
      </c>
      <c r="AH58" s="37">
        <v>7.5</v>
      </c>
      <c r="AI58" s="37">
        <v>-2.9</v>
      </c>
      <c r="AJ58" s="37">
        <v>-18.399999999999999</v>
      </c>
      <c r="AK58" s="37">
        <v>-29.6</v>
      </c>
      <c r="AL58" s="37">
        <v>-5</v>
      </c>
    </row>
    <row r="59" spans="1:38" ht="25.5" x14ac:dyDescent="0.25">
      <c r="A59" s="33" t="s">
        <v>662</v>
      </c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34"/>
      <c r="Y59" s="33" t="s">
        <v>662</v>
      </c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</row>
    <row r="60" spans="1:38" x14ac:dyDescent="0.25">
      <c r="A60" s="31" t="s">
        <v>760</v>
      </c>
      <c r="B60" s="30">
        <v>-38</v>
      </c>
      <c r="C60" s="30">
        <v>-37</v>
      </c>
      <c r="D60" s="30">
        <v>-35</v>
      </c>
      <c r="E60" s="30">
        <v>-33</v>
      </c>
      <c r="F60" s="30">
        <v>-16</v>
      </c>
      <c r="G60" s="30">
        <v>-45</v>
      </c>
      <c r="H60" s="30">
        <v>7.6</v>
      </c>
      <c r="I60" s="30">
        <v>176</v>
      </c>
      <c r="J60" s="30">
        <v>-8.1999999999999993</v>
      </c>
      <c r="K60" s="30">
        <v>250</v>
      </c>
      <c r="L60" s="30">
        <v>-4.5</v>
      </c>
      <c r="M60" s="30">
        <v>271</v>
      </c>
      <c r="N60" s="30">
        <v>-3.5</v>
      </c>
      <c r="O60" s="30">
        <v>85</v>
      </c>
      <c r="P60" s="30">
        <v>84</v>
      </c>
      <c r="Q60" s="30">
        <v>174</v>
      </c>
      <c r="R60" s="30" t="s">
        <v>185</v>
      </c>
      <c r="S60" s="30">
        <v>3.4</v>
      </c>
      <c r="T60" s="30">
        <v>2.9</v>
      </c>
      <c r="U60" s="34">
        <v>0</v>
      </c>
      <c r="V60" s="35">
        <v>5</v>
      </c>
      <c r="Y60" s="31" t="s">
        <v>661</v>
      </c>
      <c r="Z60" s="37">
        <v>-13.6</v>
      </c>
      <c r="AA60" s="37">
        <v>-12.1</v>
      </c>
      <c r="AB60" s="37">
        <v>-5.7</v>
      </c>
      <c r="AC60" s="37">
        <v>0.1</v>
      </c>
      <c r="AD60" s="37">
        <v>6.6</v>
      </c>
      <c r="AE60" s="37">
        <v>12.7</v>
      </c>
      <c r="AF60" s="37">
        <v>16</v>
      </c>
      <c r="AG60" s="37">
        <v>13.2</v>
      </c>
      <c r="AH60" s="37">
        <v>8</v>
      </c>
      <c r="AI60" s="37">
        <v>1.8</v>
      </c>
      <c r="AJ60" s="37">
        <v>-4.8</v>
      </c>
      <c r="AK60" s="37">
        <v>-9.9</v>
      </c>
      <c r="AL60" s="37">
        <v>1</v>
      </c>
    </row>
    <row r="61" spans="1:38" x14ac:dyDescent="0.25">
      <c r="A61" s="31" t="s">
        <v>660</v>
      </c>
      <c r="B61" s="30">
        <v>-49</v>
      </c>
      <c r="C61" s="30">
        <v>-47</v>
      </c>
      <c r="D61" s="30">
        <v>-44</v>
      </c>
      <c r="E61" s="30">
        <v>-42</v>
      </c>
      <c r="F61" s="30">
        <v>-23</v>
      </c>
      <c r="G61" s="30">
        <v>-55</v>
      </c>
      <c r="H61" s="30">
        <v>10</v>
      </c>
      <c r="I61" s="30">
        <v>203</v>
      </c>
      <c r="J61" s="30">
        <v>-10.5</v>
      </c>
      <c r="K61" s="30">
        <v>277</v>
      </c>
      <c r="L61" s="30">
        <v>-6.6</v>
      </c>
      <c r="M61" s="30">
        <v>297</v>
      </c>
      <c r="N61" s="30">
        <v>-5.6</v>
      </c>
      <c r="O61" s="30">
        <v>83</v>
      </c>
      <c r="P61" s="30">
        <v>83</v>
      </c>
      <c r="Q61" s="30">
        <v>191</v>
      </c>
      <c r="R61" s="30" t="s">
        <v>155</v>
      </c>
      <c r="S61" s="30" t="s">
        <v>41</v>
      </c>
      <c r="T61" s="30">
        <v>2.6</v>
      </c>
      <c r="U61" s="34">
        <v>0</v>
      </c>
      <c r="V61" s="35">
        <v>5</v>
      </c>
      <c r="Y61" s="31" t="s">
        <v>660</v>
      </c>
      <c r="Z61" s="37">
        <v>-17.8</v>
      </c>
      <c r="AA61" s="37">
        <v>-16.399999999999999</v>
      </c>
      <c r="AB61" s="37">
        <v>-11.2</v>
      </c>
      <c r="AC61" s="37">
        <v>-2.9</v>
      </c>
      <c r="AD61" s="37">
        <v>3.1</v>
      </c>
      <c r="AE61" s="37">
        <v>10.199999999999999</v>
      </c>
      <c r="AF61" s="37">
        <v>13.5</v>
      </c>
      <c r="AG61" s="37">
        <v>11</v>
      </c>
      <c r="AH61" s="37">
        <v>5.5</v>
      </c>
      <c r="AI61" s="37">
        <v>-1.7</v>
      </c>
      <c r="AJ61" s="37">
        <v>-8.1</v>
      </c>
      <c r="AK61" s="37">
        <v>-13.9</v>
      </c>
      <c r="AL61" s="37">
        <v>-2.4</v>
      </c>
    </row>
    <row r="62" spans="1:38" x14ac:dyDescent="0.25">
      <c r="A62" s="31" t="s">
        <v>659</v>
      </c>
      <c r="B62" s="30">
        <v>-39</v>
      </c>
      <c r="C62" s="30">
        <v>-38</v>
      </c>
      <c r="D62" s="30">
        <v>-35</v>
      </c>
      <c r="E62" s="30">
        <v>-33</v>
      </c>
      <c r="F62" s="30">
        <v>-19</v>
      </c>
      <c r="G62" s="30">
        <v>-48</v>
      </c>
      <c r="H62" s="30">
        <v>7.6</v>
      </c>
      <c r="I62" s="30">
        <v>175</v>
      </c>
      <c r="J62" s="30">
        <v>-8.3000000000000007</v>
      </c>
      <c r="K62" s="30">
        <v>249</v>
      </c>
      <c r="L62" s="30">
        <v>-4.7</v>
      </c>
      <c r="M62" s="30">
        <v>268</v>
      </c>
      <c r="N62" s="30">
        <v>-3.7</v>
      </c>
      <c r="O62" s="30">
        <v>85</v>
      </c>
      <c r="P62" s="30">
        <v>85</v>
      </c>
      <c r="Q62" s="30">
        <v>150</v>
      </c>
      <c r="R62" s="30" t="s">
        <v>185</v>
      </c>
      <c r="S62" s="30" t="s">
        <v>41</v>
      </c>
      <c r="T62" s="30">
        <v>3.9</v>
      </c>
      <c r="U62" s="34">
        <v>0</v>
      </c>
      <c r="V62" s="35">
        <v>5</v>
      </c>
      <c r="Y62" s="31" t="s">
        <v>659</v>
      </c>
      <c r="Z62" s="37">
        <v>-14.1</v>
      </c>
      <c r="AA62" s="37">
        <v>-12.8</v>
      </c>
      <c r="AB62" s="37">
        <v>-7.3</v>
      </c>
      <c r="AC62" s="37">
        <v>-0.1</v>
      </c>
      <c r="AD62" s="37">
        <v>6.6</v>
      </c>
      <c r="AE62" s="37">
        <v>13.4</v>
      </c>
      <c r="AF62" s="37">
        <v>16.100000000000001</v>
      </c>
      <c r="AG62" s="37">
        <v>13.9</v>
      </c>
      <c r="AH62" s="37">
        <v>8</v>
      </c>
      <c r="AI62" s="37">
        <v>1.2</v>
      </c>
      <c r="AJ62" s="37">
        <v>-4.5</v>
      </c>
      <c r="AK62" s="37">
        <v>-10.199999999999999</v>
      </c>
      <c r="AL62" s="37">
        <v>0.9</v>
      </c>
    </row>
    <row r="63" spans="1:38" x14ac:dyDescent="0.25">
      <c r="A63" s="31" t="s">
        <v>761</v>
      </c>
      <c r="B63" s="30">
        <v>-48</v>
      </c>
      <c r="C63" s="30">
        <v>-47</v>
      </c>
      <c r="D63" s="30">
        <v>-44</v>
      </c>
      <c r="E63" s="30">
        <v>-41</v>
      </c>
      <c r="F63" s="30">
        <v>-20</v>
      </c>
      <c r="G63" s="30">
        <v>-52</v>
      </c>
      <c r="H63" s="30">
        <v>8.9</v>
      </c>
      <c r="I63" s="30">
        <v>190</v>
      </c>
      <c r="J63" s="30">
        <v>-10.1</v>
      </c>
      <c r="K63" s="30">
        <v>262</v>
      </c>
      <c r="L63" s="30">
        <v>-6.2</v>
      </c>
      <c r="M63" s="30">
        <v>281</v>
      </c>
      <c r="N63" s="30">
        <v>-5.0999999999999996</v>
      </c>
      <c r="O63" s="30">
        <v>83</v>
      </c>
      <c r="P63" s="30">
        <v>83</v>
      </c>
      <c r="Q63" s="30">
        <v>185</v>
      </c>
      <c r="R63" s="30" t="s">
        <v>150</v>
      </c>
      <c r="S63" s="30">
        <v>2</v>
      </c>
      <c r="T63" s="30">
        <v>3.1</v>
      </c>
      <c r="U63" s="34">
        <v>0</v>
      </c>
      <c r="V63" s="35">
        <v>5</v>
      </c>
      <c r="Y63" s="31" t="s">
        <v>658</v>
      </c>
      <c r="Z63" s="37">
        <v>-17.2</v>
      </c>
      <c r="AA63" s="37">
        <v>-15</v>
      </c>
      <c r="AB63" s="37">
        <v>-7.1</v>
      </c>
      <c r="AC63" s="37">
        <v>-1.1000000000000001</v>
      </c>
      <c r="AD63" s="37">
        <v>5.4</v>
      </c>
      <c r="AE63" s="37">
        <v>12.3</v>
      </c>
      <c r="AF63" s="37">
        <v>16.100000000000001</v>
      </c>
      <c r="AG63" s="37">
        <v>12.4</v>
      </c>
      <c r="AH63" s="37">
        <v>6.9</v>
      </c>
      <c r="AI63" s="37">
        <v>0.1</v>
      </c>
      <c r="AJ63" s="37">
        <v>-7.5</v>
      </c>
      <c r="AK63" s="37">
        <v>-13.1</v>
      </c>
      <c r="AL63" s="37">
        <v>-0.7</v>
      </c>
    </row>
    <row r="64" spans="1:38" x14ac:dyDescent="0.25">
      <c r="A64" s="31" t="s">
        <v>762</v>
      </c>
      <c r="B64" s="30">
        <v>-42</v>
      </c>
      <c r="C64" s="30">
        <v>-41</v>
      </c>
      <c r="D64" s="30">
        <v>-41</v>
      </c>
      <c r="E64" s="30">
        <v>-31</v>
      </c>
      <c r="F64" s="30">
        <v>-16</v>
      </c>
      <c r="G64" s="30">
        <v>-47</v>
      </c>
      <c r="H64" s="30">
        <v>7.5</v>
      </c>
      <c r="I64" s="30">
        <v>166</v>
      </c>
      <c r="J64" s="30">
        <v>-8.9</v>
      </c>
      <c r="K64" s="30">
        <v>237</v>
      </c>
      <c r="L64" s="30">
        <v>-5</v>
      </c>
      <c r="M64" s="30">
        <v>257</v>
      </c>
      <c r="N64" s="30">
        <v>-3.9</v>
      </c>
      <c r="O64" s="30">
        <v>84</v>
      </c>
      <c r="P64" s="30" t="s">
        <v>41</v>
      </c>
      <c r="Q64" s="30">
        <v>161</v>
      </c>
      <c r="R64" s="30" t="s">
        <v>150</v>
      </c>
      <c r="S64" s="30">
        <v>4.5999999999999996</v>
      </c>
      <c r="T64" s="30">
        <v>2.4</v>
      </c>
      <c r="U64" s="34">
        <v>0</v>
      </c>
      <c r="V64" s="35">
        <v>5</v>
      </c>
      <c r="Y64" s="31" t="s">
        <v>657</v>
      </c>
      <c r="Z64" s="37">
        <v>-14.1</v>
      </c>
      <c r="AA64" s="37">
        <v>-12.2</v>
      </c>
      <c r="AB64" s="37">
        <v>-4.7</v>
      </c>
      <c r="AC64" s="37">
        <v>2.2999999999999998</v>
      </c>
      <c r="AD64" s="37">
        <v>9</v>
      </c>
      <c r="AE64" s="37">
        <v>14.6</v>
      </c>
      <c r="AF64" s="37">
        <v>17.3</v>
      </c>
      <c r="AG64" s="37">
        <v>14.2</v>
      </c>
      <c r="AH64" s="37">
        <v>8.4</v>
      </c>
      <c r="AI64" s="37">
        <v>1.9</v>
      </c>
      <c r="AJ64" s="37">
        <v>-5.3</v>
      </c>
      <c r="AK64" s="37">
        <v>-10.8</v>
      </c>
      <c r="AL64" s="37">
        <v>1.7</v>
      </c>
    </row>
    <row r="65" spans="1:38" x14ac:dyDescent="0.25">
      <c r="A65" s="31" t="s">
        <v>763</v>
      </c>
      <c r="B65" s="30">
        <v>-40</v>
      </c>
      <c r="C65" s="30">
        <v>-40</v>
      </c>
      <c r="D65" s="30">
        <v>-38</v>
      </c>
      <c r="E65" s="30">
        <v>-35</v>
      </c>
      <c r="F65" s="30">
        <v>-17</v>
      </c>
      <c r="G65" s="30">
        <v>-49</v>
      </c>
      <c r="H65" s="30">
        <v>7.8</v>
      </c>
      <c r="I65" s="30">
        <v>194</v>
      </c>
      <c r="J65" s="30">
        <v>-8.9</v>
      </c>
      <c r="K65" s="30">
        <v>268</v>
      </c>
      <c r="L65" s="30">
        <v>-5.3</v>
      </c>
      <c r="M65" s="30">
        <v>290</v>
      </c>
      <c r="N65" s="30">
        <v>-4.2</v>
      </c>
      <c r="O65" s="30">
        <v>84</v>
      </c>
      <c r="P65" s="30">
        <v>83</v>
      </c>
      <c r="Q65" s="30">
        <v>149</v>
      </c>
      <c r="R65" s="30" t="s">
        <v>150</v>
      </c>
      <c r="S65" s="30">
        <v>4.5</v>
      </c>
      <c r="T65" s="30">
        <v>4.0999999999999996</v>
      </c>
      <c r="U65" s="34">
        <v>0</v>
      </c>
      <c r="V65" s="35">
        <v>5</v>
      </c>
      <c r="Y65" s="31" t="s">
        <v>656</v>
      </c>
      <c r="Z65" s="37">
        <v>-14.8</v>
      </c>
      <c r="AA65" s="37">
        <v>-13.4</v>
      </c>
      <c r="AB65" s="37">
        <v>-7.2</v>
      </c>
      <c r="AC65" s="37">
        <v>-2.2000000000000002</v>
      </c>
      <c r="AD65" s="37">
        <v>4</v>
      </c>
      <c r="AE65" s="37">
        <v>10.5</v>
      </c>
      <c r="AF65" s="37">
        <v>14.5</v>
      </c>
      <c r="AG65" s="37">
        <v>11.9</v>
      </c>
      <c r="AH65" s="37">
        <v>7.1</v>
      </c>
      <c r="AI65" s="37">
        <v>0.6</v>
      </c>
      <c r="AJ65" s="37">
        <v>-6.3</v>
      </c>
      <c r="AK65" s="37">
        <v>-11</v>
      </c>
      <c r="AL65" s="37">
        <v>-0.5</v>
      </c>
    </row>
    <row r="66" spans="1:38" x14ac:dyDescent="0.25">
      <c r="A66" s="31" t="s">
        <v>764</v>
      </c>
      <c r="B66" s="30">
        <v>-38</v>
      </c>
      <c r="C66" s="30">
        <v>-37</v>
      </c>
      <c r="D66" s="30">
        <v>-36</v>
      </c>
      <c r="E66" s="30">
        <v>-32</v>
      </c>
      <c r="F66" s="30">
        <v>-15</v>
      </c>
      <c r="G66" s="30">
        <v>-43</v>
      </c>
      <c r="H66" s="30">
        <v>7</v>
      </c>
      <c r="I66" s="30">
        <v>168</v>
      </c>
      <c r="J66" s="30">
        <v>-7.5</v>
      </c>
      <c r="K66" s="30">
        <v>243</v>
      </c>
      <c r="L66" s="30">
        <v>-4</v>
      </c>
      <c r="M66" s="30">
        <v>264</v>
      </c>
      <c r="N66" s="30">
        <v>-2.9</v>
      </c>
      <c r="O66" s="30">
        <v>84</v>
      </c>
      <c r="P66" s="30">
        <v>84</v>
      </c>
      <c r="Q66" s="30">
        <v>188</v>
      </c>
      <c r="R66" s="30" t="s">
        <v>185</v>
      </c>
      <c r="S66" s="30">
        <v>3.7</v>
      </c>
      <c r="T66" s="30">
        <v>2.8</v>
      </c>
      <c r="U66" s="34">
        <v>0</v>
      </c>
      <c r="V66" s="35">
        <v>5</v>
      </c>
      <c r="Y66" s="31" t="s">
        <v>655</v>
      </c>
      <c r="Z66" s="37">
        <v>-12.3</v>
      </c>
      <c r="AA66" s="37">
        <v>-11</v>
      </c>
      <c r="AB66" s="37">
        <v>-5</v>
      </c>
      <c r="AC66" s="37">
        <v>0.8</v>
      </c>
      <c r="AD66" s="37">
        <v>7.2</v>
      </c>
      <c r="AE66" s="37">
        <v>13.4</v>
      </c>
      <c r="AF66" s="37">
        <v>16.7</v>
      </c>
      <c r="AG66" s="37">
        <v>13.9</v>
      </c>
      <c r="AH66" s="37">
        <v>8.6999999999999993</v>
      </c>
      <c r="AI66" s="37">
        <v>2.5</v>
      </c>
      <c r="AJ66" s="37">
        <v>-3.8</v>
      </c>
      <c r="AK66" s="37">
        <v>-8.6999999999999993</v>
      </c>
      <c r="AL66" s="37">
        <v>1.9</v>
      </c>
    </row>
    <row r="67" spans="1:38" ht="25.5" x14ac:dyDescent="0.25">
      <c r="A67" s="33" t="s">
        <v>654</v>
      </c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34"/>
      <c r="Y67" s="33" t="s">
        <v>654</v>
      </c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</row>
    <row r="68" spans="1:38" x14ac:dyDescent="0.25">
      <c r="A68" s="31" t="s">
        <v>765</v>
      </c>
      <c r="B68" s="30">
        <v>-25</v>
      </c>
      <c r="C68" s="30">
        <v>-24</v>
      </c>
      <c r="D68" s="30">
        <v>-23</v>
      </c>
      <c r="E68" s="30">
        <v>-21</v>
      </c>
      <c r="F68" s="30">
        <v>-10</v>
      </c>
      <c r="G68" s="30">
        <v>-33</v>
      </c>
      <c r="H68" s="30">
        <v>6.8</v>
      </c>
      <c r="I68" s="30">
        <v>103</v>
      </c>
      <c r="J68" s="30">
        <v>-3.5</v>
      </c>
      <c r="K68" s="30">
        <v>164</v>
      </c>
      <c r="L68" s="30">
        <v>-0.8</v>
      </c>
      <c r="M68" s="30">
        <v>179</v>
      </c>
      <c r="N68" s="30">
        <v>0.1</v>
      </c>
      <c r="O68" s="30">
        <v>83</v>
      </c>
      <c r="P68" s="30">
        <v>76</v>
      </c>
      <c r="Q68" s="30">
        <v>73</v>
      </c>
      <c r="R68" s="30" t="s">
        <v>146</v>
      </c>
      <c r="S68" s="30">
        <v>3.8</v>
      </c>
      <c r="T68" s="30">
        <v>3.3</v>
      </c>
      <c r="U68" s="34">
        <v>0</v>
      </c>
      <c r="Y68" s="31" t="s">
        <v>653</v>
      </c>
      <c r="Z68" s="37">
        <v>-4.8</v>
      </c>
      <c r="AA68" s="37">
        <v>-4.3</v>
      </c>
      <c r="AB68" s="37">
        <v>2</v>
      </c>
      <c r="AC68" s="37">
        <v>11.3</v>
      </c>
      <c r="AD68" s="37">
        <v>18</v>
      </c>
      <c r="AE68" s="37">
        <v>22.9</v>
      </c>
      <c r="AF68" s="37">
        <v>25.4</v>
      </c>
      <c r="AG68" s="37">
        <v>23.8</v>
      </c>
      <c r="AH68" s="37">
        <v>17.600000000000001</v>
      </c>
      <c r="AI68" s="37">
        <v>10</v>
      </c>
      <c r="AJ68" s="37">
        <v>3.4</v>
      </c>
      <c r="AK68" s="37">
        <v>-2</v>
      </c>
      <c r="AL68" s="37">
        <v>10.3</v>
      </c>
    </row>
    <row r="69" spans="1:38" x14ac:dyDescent="0.25">
      <c r="A69" s="31" t="s">
        <v>766</v>
      </c>
      <c r="B69" s="30">
        <v>-30</v>
      </c>
      <c r="C69" s="30">
        <v>-28</v>
      </c>
      <c r="D69" s="30">
        <v>-28</v>
      </c>
      <c r="E69" s="30">
        <v>-24</v>
      </c>
      <c r="F69" s="30">
        <v>-12</v>
      </c>
      <c r="G69" s="30">
        <v>-37</v>
      </c>
      <c r="H69" s="30">
        <v>6.4</v>
      </c>
      <c r="I69" s="30">
        <v>121</v>
      </c>
      <c r="J69" s="30">
        <v>-5.4</v>
      </c>
      <c r="K69" s="30">
        <v>174</v>
      </c>
      <c r="L69" s="30">
        <v>-2.5</v>
      </c>
      <c r="M69" s="30">
        <v>187</v>
      </c>
      <c r="N69" s="30">
        <v>-1.7</v>
      </c>
      <c r="O69" s="30">
        <v>83</v>
      </c>
      <c r="P69" s="30">
        <v>79</v>
      </c>
      <c r="Q69" s="30">
        <v>110</v>
      </c>
      <c r="R69" s="30" t="s">
        <v>146</v>
      </c>
      <c r="S69" s="30">
        <v>3.7</v>
      </c>
      <c r="T69" s="30">
        <v>3.6</v>
      </c>
      <c r="U69" s="34">
        <v>0</v>
      </c>
      <c r="Y69" s="31" t="s">
        <v>652</v>
      </c>
      <c r="Z69" s="37">
        <v>-7.5</v>
      </c>
      <c r="AA69" s="37">
        <v>-7</v>
      </c>
      <c r="AB69" s="37">
        <v>0.1</v>
      </c>
      <c r="AC69" s="37">
        <v>10.6</v>
      </c>
      <c r="AD69" s="37">
        <v>17.600000000000001</v>
      </c>
      <c r="AE69" s="37">
        <v>22.6</v>
      </c>
      <c r="AF69" s="37">
        <v>25.1</v>
      </c>
      <c r="AG69" s="37">
        <v>23.6</v>
      </c>
      <c r="AH69" s="37">
        <v>16.8</v>
      </c>
      <c r="AI69" s="37">
        <v>8.5</v>
      </c>
      <c r="AJ69" s="37">
        <v>1.2</v>
      </c>
      <c r="AK69" s="37">
        <v>-4.5999999999999996</v>
      </c>
      <c r="AL69" s="37">
        <v>8.9</v>
      </c>
    </row>
    <row r="70" spans="1:38" ht="25.5" x14ac:dyDescent="0.25">
      <c r="A70" s="33" t="s">
        <v>651</v>
      </c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34"/>
      <c r="Y70" s="33" t="s">
        <v>651</v>
      </c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</row>
    <row r="71" spans="1:38" x14ac:dyDescent="0.25">
      <c r="A71" s="31" t="s">
        <v>650</v>
      </c>
      <c r="B71" s="30">
        <v>-39</v>
      </c>
      <c r="C71" s="30">
        <v>-37</v>
      </c>
      <c r="D71" s="30">
        <v>-37</v>
      </c>
      <c r="E71" s="30">
        <v>-34</v>
      </c>
      <c r="F71" s="30">
        <v>-21</v>
      </c>
      <c r="G71" s="30">
        <v>-45</v>
      </c>
      <c r="H71" s="30">
        <v>8.5</v>
      </c>
      <c r="I71" s="30">
        <v>171</v>
      </c>
      <c r="J71" s="30">
        <v>-10.3</v>
      </c>
      <c r="K71" s="30">
        <v>231</v>
      </c>
      <c r="L71" s="30">
        <v>-6.5</v>
      </c>
      <c r="M71" s="30">
        <v>249</v>
      </c>
      <c r="N71" s="30">
        <v>-5.4</v>
      </c>
      <c r="O71" s="30">
        <v>79</v>
      </c>
      <c r="P71" s="30">
        <v>76</v>
      </c>
      <c r="Q71" s="30">
        <v>132</v>
      </c>
      <c r="R71" s="30" t="s">
        <v>155</v>
      </c>
      <c r="S71" s="30">
        <v>5.6</v>
      </c>
      <c r="T71" s="30">
        <v>3.5</v>
      </c>
      <c r="U71" s="34">
        <v>0</v>
      </c>
      <c r="V71" s="35">
        <v>1</v>
      </c>
      <c r="Y71" s="31" t="s">
        <v>650</v>
      </c>
      <c r="Z71" s="30">
        <v>-16.2</v>
      </c>
      <c r="AA71" s="30">
        <v>-14.4</v>
      </c>
      <c r="AB71" s="30">
        <v>-7.8</v>
      </c>
      <c r="AC71" s="30">
        <v>2.7</v>
      </c>
      <c r="AD71" s="30">
        <v>10.199999999999999</v>
      </c>
      <c r="AE71" s="30">
        <v>14.5</v>
      </c>
      <c r="AF71" s="30">
        <v>16</v>
      </c>
      <c r="AG71" s="30">
        <v>14.2</v>
      </c>
      <c r="AH71" s="30">
        <v>8.6999999999999993</v>
      </c>
      <c r="AI71" s="30">
        <v>0.7</v>
      </c>
      <c r="AJ71" s="30">
        <v>-7.4</v>
      </c>
      <c r="AK71" s="30">
        <v>-13.8</v>
      </c>
      <c r="AL71" s="30">
        <v>0.6</v>
      </c>
    </row>
    <row r="72" spans="1:38" x14ac:dyDescent="0.25">
      <c r="A72" s="31" t="s">
        <v>767</v>
      </c>
      <c r="B72" s="30">
        <v>-42</v>
      </c>
      <c r="C72" s="30">
        <v>-38</v>
      </c>
      <c r="D72" s="30">
        <v>-36</v>
      </c>
      <c r="E72" s="30">
        <v>-34</v>
      </c>
      <c r="F72" s="30">
        <v>-19</v>
      </c>
      <c r="G72" s="30">
        <v>-50</v>
      </c>
      <c r="H72" s="30">
        <v>7.9</v>
      </c>
      <c r="I72" s="30">
        <v>164</v>
      </c>
      <c r="J72" s="30">
        <v>-9.6999999999999993</v>
      </c>
      <c r="K72" s="30">
        <v>224</v>
      </c>
      <c r="L72" s="30">
        <v>-6</v>
      </c>
      <c r="M72" s="30">
        <v>240</v>
      </c>
      <c r="N72" s="30">
        <v>-5</v>
      </c>
      <c r="O72" s="30">
        <v>82</v>
      </c>
      <c r="P72" s="30">
        <v>81</v>
      </c>
      <c r="Q72" s="30">
        <v>121</v>
      </c>
      <c r="R72" s="30" t="s">
        <v>150</v>
      </c>
      <c r="S72" s="30">
        <v>3.6</v>
      </c>
      <c r="T72" s="30">
        <v>2.9</v>
      </c>
      <c r="U72" s="34">
        <v>0</v>
      </c>
      <c r="V72" s="35">
        <v>1</v>
      </c>
      <c r="Y72" s="31" t="s">
        <v>649</v>
      </c>
      <c r="Z72" s="30">
        <v>-14.3</v>
      </c>
      <c r="AA72" s="30">
        <v>-13.1</v>
      </c>
      <c r="AB72" s="30">
        <v>-5.8</v>
      </c>
      <c r="AC72" s="30">
        <v>3.4</v>
      </c>
      <c r="AD72" s="30">
        <v>11.1</v>
      </c>
      <c r="AE72" s="30">
        <v>15.9</v>
      </c>
      <c r="AF72" s="30">
        <v>17.600000000000001</v>
      </c>
      <c r="AG72" s="30">
        <v>15.1</v>
      </c>
      <c r="AH72" s="30">
        <v>9.5</v>
      </c>
      <c r="AI72" s="30">
        <v>2.2000000000000002</v>
      </c>
      <c r="AJ72" s="30">
        <v>-5.7</v>
      </c>
      <c r="AK72" s="30">
        <v>-11.8</v>
      </c>
      <c r="AL72" s="30">
        <v>2</v>
      </c>
    </row>
    <row r="73" spans="1:38" x14ac:dyDescent="0.25">
      <c r="A73" s="31" t="s">
        <v>648</v>
      </c>
      <c r="B73" s="30">
        <v>-42</v>
      </c>
      <c r="C73" s="30">
        <v>-39</v>
      </c>
      <c r="D73" s="30">
        <v>-38</v>
      </c>
      <c r="E73" s="30">
        <v>-35</v>
      </c>
      <c r="F73" s="30">
        <v>-20</v>
      </c>
      <c r="G73" s="30">
        <v>-45</v>
      </c>
      <c r="H73" s="30">
        <v>8.9</v>
      </c>
      <c r="I73" s="30">
        <v>158</v>
      </c>
      <c r="J73" s="30">
        <v>-9.9</v>
      </c>
      <c r="K73" s="30">
        <v>210</v>
      </c>
      <c r="L73" s="30">
        <v>-6.4</v>
      </c>
      <c r="M73" s="30">
        <v>224</v>
      </c>
      <c r="N73" s="30">
        <v>-5.4</v>
      </c>
      <c r="O73" s="30">
        <v>80</v>
      </c>
      <c r="P73" s="30">
        <v>78</v>
      </c>
      <c r="Q73" s="30">
        <v>151</v>
      </c>
      <c r="R73" s="30" t="s">
        <v>150</v>
      </c>
      <c r="S73" s="30">
        <v>5</v>
      </c>
      <c r="T73" s="30">
        <v>3.4</v>
      </c>
      <c r="U73" s="34">
        <v>0</v>
      </c>
      <c r="V73" s="35">
        <v>1</v>
      </c>
      <c r="Y73" s="31" t="s">
        <v>648</v>
      </c>
      <c r="Z73" s="30">
        <v>-15.5</v>
      </c>
      <c r="AA73" s="30">
        <v>-14.4</v>
      </c>
      <c r="AB73" s="30">
        <v>-7.5</v>
      </c>
      <c r="AC73" s="30">
        <v>4.5999999999999996</v>
      </c>
      <c r="AD73" s="30">
        <v>13.6</v>
      </c>
      <c r="AE73" s="30">
        <v>17.8</v>
      </c>
      <c r="AF73" s="30">
        <v>19.600000000000001</v>
      </c>
      <c r="AG73" s="30">
        <v>17.899999999999999</v>
      </c>
      <c r="AH73" s="30">
        <v>11.7</v>
      </c>
      <c r="AI73" s="30">
        <v>3.2</v>
      </c>
      <c r="AJ73" s="30">
        <v>-5.0999999999999996</v>
      </c>
      <c r="AK73" s="30">
        <v>-11.8</v>
      </c>
      <c r="AL73" s="30">
        <v>2.8</v>
      </c>
    </row>
    <row r="74" spans="1:38" x14ac:dyDescent="0.25">
      <c r="A74" s="31" t="s">
        <v>768</v>
      </c>
      <c r="B74" s="30">
        <v>-41</v>
      </c>
      <c r="C74" s="30">
        <v>-38</v>
      </c>
      <c r="D74" s="30">
        <v>-38</v>
      </c>
      <c r="E74" s="30">
        <v>-33</v>
      </c>
      <c r="F74" s="30">
        <v>-18</v>
      </c>
      <c r="G74" s="30">
        <v>-49</v>
      </c>
      <c r="H74" s="30">
        <v>8.9</v>
      </c>
      <c r="I74" s="30">
        <v>155</v>
      </c>
      <c r="J74" s="30">
        <v>-9.5</v>
      </c>
      <c r="K74" s="30">
        <v>209</v>
      </c>
      <c r="L74" s="30">
        <v>-6</v>
      </c>
      <c r="M74" s="30">
        <v>224</v>
      </c>
      <c r="N74" s="30">
        <v>-5</v>
      </c>
      <c r="O74" s="30">
        <v>82</v>
      </c>
      <c r="P74" s="30">
        <v>79</v>
      </c>
      <c r="Q74" s="30">
        <v>205</v>
      </c>
      <c r="R74" s="30" t="s">
        <v>150</v>
      </c>
      <c r="S74" s="30">
        <v>4</v>
      </c>
      <c r="T74" s="30">
        <v>3.1</v>
      </c>
      <c r="U74" s="34">
        <v>0</v>
      </c>
      <c r="V74" s="35">
        <v>1</v>
      </c>
      <c r="Y74" s="31" t="s">
        <v>647</v>
      </c>
      <c r="Z74" s="30">
        <v>-13.8</v>
      </c>
      <c r="AA74" s="30">
        <v>-12.7</v>
      </c>
      <c r="AB74" s="30">
        <v>-5.4</v>
      </c>
      <c r="AC74" s="30">
        <v>5.2</v>
      </c>
      <c r="AD74" s="30">
        <v>13.2</v>
      </c>
      <c r="AE74" s="30">
        <v>17.600000000000001</v>
      </c>
      <c r="AF74" s="30">
        <v>19.399999999999999</v>
      </c>
      <c r="AG74" s="30">
        <v>17</v>
      </c>
      <c r="AH74" s="30">
        <v>11.2</v>
      </c>
      <c r="AI74" s="30">
        <v>3.8</v>
      </c>
      <c r="AJ74" s="30">
        <v>-4</v>
      </c>
      <c r="AK74" s="30">
        <v>-11</v>
      </c>
      <c r="AL74" s="30">
        <v>3.4</v>
      </c>
    </row>
    <row r="75" spans="1:38" x14ac:dyDescent="0.25">
      <c r="A75" s="31" t="s">
        <v>769</v>
      </c>
      <c r="B75" s="30">
        <v>-43</v>
      </c>
      <c r="C75" s="30">
        <v>-40</v>
      </c>
      <c r="D75" s="30">
        <v>-39</v>
      </c>
      <c r="E75" s="30">
        <v>-34</v>
      </c>
      <c r="F75" s="30">
        <v>-18</v>
      </c>
      <c r="G75" s="30">
        <v>-51</v>
      </c>
      <c r="H75" s="30">
        <v>8.4</v>
      </c>
      <c r="I75" s="30">
        <v>162</v>
      </c>
      <c r="J75" s="30">
        <v>-9.6999999999999993</v>
      </c>
      <c r="K75" s="30">
        <v>218</v>
      </c>
      <c r="L75" s="30">
        <v>-6.1</v>
      </c>
      <c r="M75" s="30">
        <v>234</v>
      </c>
      <c r="N75" s="30">
        <v>-5.0999999999999996</v>
      </c>
      <c r="O75" s="30">
        <v>82</v>
      </c>
      <c r="P75" s="30">
        <v>82</v>
      </c>
      <c r="Q75" s="30">
        <v>133</v>
      </c>
      <c r="R75" s="30" t="s">
        <v>150</v>
      </c>
      <c r="S75" s="30">
        <v>6</v>
      </c>
      <c r="T75" s="30">
        <v>3.8</v>
      </c>
      <c r="U75" s="34">
        <v>0</v>
      </c>
      <c r="V75" s="35">
        <v>1</v>
      </c>
      <c r="Y75" s="31" t="s">
        <v>646</v>
      </c>
      <c r="Z75" s="30">
        <v>-14.2</v>
      </c>
      <c r="AA75" s="30">
        <v>-13.5</v>
      </c>
      <c r="AB75" s="30">
        <v>-6.3</v>
      </c>
      <c r="AC75" s="30">
        <v>3.5</v>
      </c>
      <c r="AD75" s="30">
        <v>11.9</v>
      </c>
      <c r="AE75" s="30">
        <v>16.7</v>
      </c>
      <c r="AF75" s="30">
        <v>18.8</v>
      </c>
      <c r="AG75" s="30">
        <v>16.100000000000001</v>
      </c>
      <c r="AH75" s="30">
        <v>10.3</v>
      </c>
      <c r="AI75" s="30">
        <v>3</v>
      </c>
      <c r="AJ75" s="30">
        <v>-4.8</v>
      </c>
      <c r="AK75" s="30">
        <v>-11.3</v>
      </c>
      <c r="AL75" s="30">
        <v>2.5</v>
      </c>
    </row>
    <row r="76" spans="1:38" ht="25.5" x14ac:dyDescent="0.25">
      <c r="A76" s="33" t="s">
        <v>645</v>
      </c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34"/>
      <c r="Y76" s="33" t="s">
        <v>645</v>
      </c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</row>
    <row r="77" spans="1:38" x14ac:dyDescent="0.25">
      <c r="A77" s="31" t="s">
        <v>644</v>
      </c>
      <c r="B77" s="30">
        <v>-29</v>
      </c>
      <c r="C77" s="30">
        <v>-28</v>
      </c>
      <c r="D77" s="30">
        <v>-27</v>
      </c>
      <c r="E77" s="30">
        <v>-23</v>
      </c>
      <c r="F77" s="30">
        <v>-13</v>
      </c>
      <c r="G77" s="30">
        <v>-35</v>
      </c>
      <c r="H77" s="30">
        <v>5.9</v>
      </c>
      <c r="I77" s="30">
        <v>126</v>
      </c>
      <c r="J77" s="30">
        <v>-5</v>
      </c>
      <c r="K77" s="30">
        <v>191</v>
      </c>
      <c r="L77" s="30">
        <v>-1.9</v>
      </c>
      <c r="M77" s="30">
        <v>209</v>
      </c>
      <c r="N77" s="30">
        <v>-1</v>
      </c>
      <c r="O77" s="30">
        <v>84</v>
      </c>
      <c r="P77" s="30">
        <v>84</v>
      </c>
      <c r="Q77" s="30">
        <v>191</v>
      </c>
      <c r="R77" s="30" t="s">
        <v>155</v>
      </c>
      <c r="S77" s="30">
        <v>5.9</v>
      </c>
      <c r="T77" s="30">
        <v>5.3</v>
      </c>
      <c r="U77" s="34">
        <v>0</v>
      </c>
      <c r="Y77" s="31" t="s">
        <v>644</v>
      </c>
      <c r="Z77" s="30">
        <v>-8.5</v>
      </c>
      <c r="AA77" s="30">
        <v>-6.4</v>
      </c>
      <c r="AB77" s="30">
        <v>-2.5</v>
      </c>
      <c r="AC77" s="30">
        <v>7.5</v>
      </c>
      <c r="AD77" s="30">
        <v>14.6</v>
      </c>
      <c r="AE77" s="30">
        <v>17.899999999999999</v>
      </c>
      <c r="AF77" s="30">
        <v>19.899999999999999</v>
      </c>
      <c r="AG77" s="30">
        <v>18.7</v>
      </c>
      <c r="AH77" s="30">
        <v>12.9</v>
      </c>
      <c r="AI77" s="30">
        <v>6.4</v>
      </c>
      <c r="AJ77" s="30">
        <v>0.3</v>
      </c>
      <c r="AK77" s="30">
        <v>-4.5</v>
      </c>
      <c r="AL77" s="30">
        <v>6.4</v>
      </c>
    </row>
    <row r="78" spans="1:38" x14ac:dyDescent="0.25">
      <c r="A78" s="33" t="s">
        <v>643</v>
      </c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34"/>
      <c r="Y78" s="33" t="s">
        <v>643</v>
      </c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</row>
    <row r="79" spans="1:38" x14ac:dyDescent="0.25">
      <c r="A79" s="31" t="s">
        <v>770</v>
      </c>
      <c r="B79" s="30">
        <v>-30</v>
      </c>
      <c r="C79" s="30">
        <v>-27</v>
      </c>
      <c r="D79" s="30">
        <v>-26</v>
      </c>
      <c r="E79" s="30">
        <v>-24</v>
      </c>
      <c r="F79" s="30">
        <v>-12</v>
      </c>
      <c r="G79" s="30">
        <v>-42</v>
      </c>
      <c r="H79" s="30">
        <v>5.6</v>
      </c>
      <c r="I79" s="30">
        <v>131</v>
      </c>
      <c r="J79" s="30">
        <v>-5.2</v>
      </c>
      <c r="K79" s="30">
        <v>199</v>
      </c>
      <c r="L79" s="30">
        <v>-2</v>
      </c>
      <c r="M79" s="30">
        <v>217</v>
      </c>
      <c r="N79" s="30">
        <v>-1.1000000000000001</v>
      </c>
      <c r="O79" s="30">
        <v>84</v>
      </c>
      <c r="P79" s="30">
        <v>82</v>
      </c>
      <c r="Q79" s="30">
        <v>210</v>
      </c>
      <c r="R79" s="30" t="s">
        <v>150</v>
      </c>
      <c r="S79" s="30">
        <v>3.4</v>
      </c>
      <c r="T79" s="30">
        <v>2.9</v>
      </c>
      <c r="U79" s="34">
        <v>0</v>
      </c>
      <c r="Y79" s="31" t="s">
        <v>642</v>
      </c>
      <c r="Z79" s="30">
        <v>-7.4</v>
      </c>
      <c r="AA79" s="30">
        <v>-6.6</v>
      </c>
      <c r="AB79" s="30">
        <v>-1.2</v>
      </c>
      <c r="AC79" s="30">
        <v>7</v>
      </c>
      <c r="AD79" s="30">
        <v>13.6</v>
      </c>
      <c r="AE79" s="30">
        <v>16.899999999999999</v>
      </c>
      <c r="AF79" s="30">
        <v>18.399999999999999</v>
      </c>
      <c r="AG79" s="30">
        <v>17.2</v>
      </c>
      <c r="AH79" s="30">
        <v>11.7</v>
      </c>
      <c r="AI79" s="30">
        <v>5.6</v>
      </c>
      <c r="AJ79" s="30">
        <v>-0.4</v>
      </c>
      <c r="AK79" s="30">
        <v>-5</v>
      </c>
      <c r="AL79" s="30">
        <v>5.8</v>
      </c>
    </row>
    <row r="80" spans="1:38" x14ac:dyDescent="0.25">
      <c r="A80" s="33" t="s">
        <v>641</v>
      </c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34"/>
      <c r="Y80" s="33" t="s">
        <v>641</v>
      </c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</row>
    <row r="81" spans="1:38" x14ac:dyDescent="0.25">
      <c r="A81" s="31" t="s">
        <v>771</v>
      </c>
      <c r="B81" s="30">
        <v>-33</v>
      </c>
      <c r="C81" s="30">
        <v>-31</v>
      </c>
      <c r="D81" s="30">
        <v>-30</v>
      </c>
      <c r="E81" s="30">
        <v>-29</v>
      </c>
      <c r="F81" s="30">
        <v>-19</v>
      </c>
      <c r="G81" s="30">
        <v>-39</v>
      </c>
      <c r="H81" s="30">
        <v>10.3</v>
      </c>
      <c r="I81" s="30">
        <v>175</v>
      </c>
      <c r="J81" s="30">
        <v>-9.8000000000000007</v>
      </c>
      <c r="K81" s="30">
        <v>250</v>
      </c>
      <c r="L81" s="30">
        <v>-5.5</v>
      </c>
      <c r="M81" s="30">
        <v>272</v>
      </c>
      <c r="N81" s="30">
        <v>-4.4000000000000004</v>
      </c>
      <c r="O81" s="30">
        <v>78</v>
      </c>
      <c r="P81" s="30">
        <v>72</v>
      </c>
      <c r="Q81" s="30">
        <v>87</v>
      </c>
      <c r="R81" s="30" t="s">
        <v>142</v>
      </c>
      <c r="S81" s="30">
        <v>5.7</v>
      </c>
      <c r="T81" s="30">
        <v>3.8</v>
      </c>
      <c r="U81" s="34">
        <v>4</v>
      </c>
      <c r="Y81" s="31" t="s">
        <v>640</v>
      </c>
      <c r="Z81" s="30">
        <v>-15.5</v>
      </c>
      <c r="AA81" s="30">
        <v>-16</v>
      </c>
      <c r="AB81" s="30">
        <v>-8.9</v>
      </c>
      <c r="AC81" s="30">
        <v>-0.5</v>
      </c>
      <c r="AD81" s="30">
        <v>6</v>
      </c>
      <c r="AE81" s="30">
        <v>11</v>
      </c>
      <c r="AF81" s="30">
        <v>15</v>
      </c>
      <c r="AG81" s="30">
        <v>14.5</v>
      </c>
      <c r="AH81" s="30">
        <v>9.1</v>
      </c>
      <c r="AI81" s="30">
        <v>2.7</v>
      </c>
      <c r="AJ81" s="30">
        <v>-4.3</v>
      </c>
      <c r="AK81" s="30">
        <v>-9.3000000000000007</v>
      </c>
      <c r="AL81" s="30">
        <v>0.3</v>
      </c>
    </row>
    <row r="82" spans="1:38" x14ac:dyDescent="0.25">
      <c r="A82" s="31" t="s">
        <v>772</v>
      </c>
      <c r="B82" s="30">
        <v>-46</v>
      </c>
      <c r="C82" s="30">
        <v>-43</v>
      </c>
      <c r="D82" s="30">
        <v>-42</v>
      </c>
      <c r="E82" s="30">
        <v>-41</v>
      </c>
      <c r="F82" s="30">
        <v>-30</v>
      </c>
      <c r="G82" s="30">
        <v>-52</v>
      </c>
      <c r="H82" s="30">
        <v>10.1</v>
      </c>
      <c r="I82" s="30">
        <v>183</v>
      </c>
      <c r="J82" s="30">
        <v>-16.7</v>
      </c>
      <c r="K82" s="30">
        <v>240</v>
      </c>
      <c r="L82" s="30">
        <v>-11.7</v>
      </c>
      <c r="M82" s="30">
        <v>255</v>
      </c>
      <c r="N82" s="30">
        <v>-10.5</v>
      </c>
      <c r="O82" s="30">
        <v>79</v>
      </c>
      <c r="P82" s="30">
        <v>78</v>
      </c>
      <c r="Q82" s="30">
        <v>94</v>
      </c>
      <c r="R82" s="30" t="s">
        <v>142</v>
      </c>
      <c r="S82" s="30">
        <v>3.2</v>
      </c>
      <c r="T82" s="30">
        <v>1.8</v>
      </c>
      <c r="U82" s="34">
        <v>4</v>
      </c>
      <c r="Y82" s="31" t="s">
        <v>639</v>
      </c>
      <c r="Z82" s="30">
        <v>-27.4</v>
      </c>
      <c r="AA82" s="30">
        <v>-22.6</v>
      </c>
      <c r="AB82" s="30">
        <v>-10.9</v>
      </c>
      <c r="AC82" s="30">
        <v>0.2</v>
      </c>
      <c r="AD82" s="30">
        <v>8.5</v>
      </c>
      <c r="AE82" s="30">
        <v>15.5</v>
      </c>
      <c r="AF82" s="30">
        <v>18.600000000000001</v>
      </c>
      <c r="AG82" s="30">
        <v>16</v>
      </c>
      <c r="AH82" s="30">
        <v>8.6</v>
      </c>
      <c r="AI82" s="30">
        <v>-0.5</v>
      </c>
      <c r="AJ82" s="30">
        <v>-12</v>
      </c>
      <c r="AK82" s="30">
        <v>-22.2</v>
      </c>
      <c r="AL82" s="30">
        <v>-2.2999999999999998</v>
      </c>
    </row>
    <row r="83" spans="1:38" x14ac:dyDescent="0.25">
      <c r="A83" s="31" t="s">
        <v>773</v>
      </c>
      <c r="B83" s="30">
        <v>-46</v>
      </c>
      <c r="C83" s="30">
        <v>-44</v>
      </c>
      <c r="D83" s="30">
        <v>-44</v>
      </c>
      <c r="E83" s="30">
        <v>-42</v>
      </c>
      <c r="F83" s="30">
        <v>-34</v>
      </c>
      <c r="G83" s="30">
        <v>-51</v>
      </c>
      <c r="H83" s="30">
        <v>16.3</v>
      </c>
      <c r="I83" s="30">
        <v>205</v>
      </c>
      <c r="J83" s="30">
        <v>-18.2</v>
      </c>
      <c r="K83" s="30">
        <v>261</v>
      </c>
      <c r="L83" s="30">
        <v>-13.4</v>
      </c>
      <c r="M83" s="30">
        <v>276</v>
      </c>
      <c r="N83" s="30">
        <v>-12.2</v>
      </c>
      <c r="O83" s="30">
        <v>76</v>
      </c>
      <c r="P83" s="30">
        <v>69</v>
      </c>
      <c r="Q83" s="30">
        <v>18</v>
      </c>
      <c r="R83" s="30" t="s">
        <v>140</v>
      </c>
      <c r="S83" s="30" t="s">
        <v>41</v>
      </c>
      <c r="T83" s="30">
        <v>1.4</v>
      </c>
      <c r="U83" s="34">
        <v>4</v>
      </c>
      <c r="Y83" s="31" t="s">
        <v>638</v>
      </c>
      <c r="Z83" s="30">
        <v>-28.6</v>
      </c>
      <c r="AA83" s="30">
        <v>-23.8</v>
      </c>
      <c r="AB83" s="30">
        <v>-14.3</v>
      </c>
      <c r="AC83" s="30">
        <v>-2.9</v>
      </c>
      <c r="AD83" s="30">
        <v>6</v>
      </c>
      <c r="AE83" s="30">
        <v>13</v>
      </c>
      <c r="AF83" s="30">
        <v>15.7</v>
      </c>
      <c r="AG83" s="30">
        <v>12.7</v>
      </c>
      <c r="AH83" s="30">
        <v>5.4</v>
      </c>
      <c r="AI83" s="30">
        <v>-4.9000000000000004</v>
      </c>
      <c r="AJ83" s="30">
        <v>-18</v>
      </c>
      <c r="AK83" s="30">
        <v>-27</v>
      </c>
      <c r="AL83" s="30">
        <v>-5.6</v>
      </c>
    </row>
    <row r="84" spans="1:38" x14ac:dyDescent="0.25">
      <c r="A84" s="31" t="s">
        <v>774</v>
      </c>
      <c r="B84" s="30">
        <v>-37</v>
      </c>
      <c r="C84" s="30">
        <v>-35</v>
      </c>
      <c r="D84" s="30">
        <v>-35</v>
      </c>
      <c r="E84" s="30">
        <v>-31</v>
      </c>
      <c r="F84" s="30">
        <v>-25</v>
      </c>
      <c r="G84" s="30">
        <v>-40</v>
      </c>
      <c r="H84" s="30">
        <v>9.6999999999999993</v>
      </c>
      <c r="I84" s="30">
        <v>171</v>
      </c>
      <c r="J84" s="30">
        <v>-13.1</v>
      </c>
      <c r="K84" s="30">
        <v>229</v>
      </c>
      <c r="L84" s="30">
        <v>-8.6999999999999993</v>
      </c>
      <c r="M84" s="30">
        <v>245</v>
      </c>
      <c r="N84" s="30">
        <v>-7.6</v>
      </c>
      <c r="O84" s="30">
        <v>75</v>
      </c>
      <c r="P84" s="30">
        <v>68</v>
      </c>
      <c r="Q84" s="30">
        <v>22</v>
      </c>
      <c r="R84" s="30" t="s">
        <v>150</v>
      </c>
      <c r="S84" s="30">
        <v>2.2000000000000002</v>
      </c>
      <c r="T84" s="30">
        <v>1.4</v>
      </c>
      <c r="U84" s="34">
        <v>4</v>
      </c>
      <c r="Y84" s="31" t="s">
        <v>637</v>
      </c>
      <c r="Z84" s="30">
        <v>-20.5</v>
      </c>
      <c r="AA84" s="30">
        <v>-16.3</v>
      </c>
      <c r="AB84" s="30">
        <v>-6.9</v>
      </c>
      <c r="AC84" s="30">
        <v>2.6</v>
      </c>
      <c r="AD84" s="30">
        <v>10.4</v>
      </c>
      <c r="AE84" s="30">
        <v>16.600000000000001</v>
      </c>
      <c r="AF84" s="30">
        <v>18.899999999999999</v>
      </c>
      <c r="AG84" s="30">
        <v>16.399999999999999</v>
      </c>
      <c r="AH84" s="30">
        <v>9.5</v>
      </c>
      <c r="AI84" s="30">
        <v>0.9</v>
      </c>
      <c r="AJ84" s="30">
        <v>-9.4</v>
      </c>
      <c r="AK84" s="30">
        <v>-17.600000000000001</v>
      </c>
      <c r="AL84" s="30">
        <v>0.4</v>
      </c>
    </row>
    <row r="85" spans="1:38" x14ac:dyDescent="0.25">
      <c r="A85" s="31" t="s">
        <v>636</v>
      </c>
      <c r="B85" s="30">
        <v>-38</v>
      </c>
      <c r="C85" s="30">
        <v>-36</v>
      </c>
      <c r="D85" s="30">
        <v>-36</v>
      </c>
      <c r="E85" s="30">
        <v>-33</v>
      </c>
      <c r="F85" s="30">
        <v>-25</v>
      </c>
      <c r="G85" s="30">
        <v>-48</v>
      </c>
      <c r="H85" s="30">
        <v>16</v>
      </c>
      <c r="I85" s="30">
        <v>198</v>
      </c>
      <c r="J85" s="30">
        <v>-12.2</v>
      </c>
      <c r="K85" s="30">
        <v>266</v>
      </c>
      <c r="L85" s="30">
        <v>-8.1</v>
      </c>
      <c r="M85" s="30">
        <v>284</v>
      </c>
      <c r="N85" s="30">
        <v>-6.9</v>
      </c>
      <c r="O85" s="30">
        <v>65</v>
      </c>
      <c r="P85" s="30">
        <v>51</v>
      </c>
      <c r="Q85" s="30">
        <v>20</v>
      </c>
      <c r="R85" s="30" t="s">
        <v>142</v>
      </c>
      <c r="S85" s="30">
        <v>5.2</v>
      </c>
      <c r="T85" s="30">
        <v>2.5</v>
      </c>
      <c r="U85" s="34">
        <v>4</v>
      </c>
      <c r="Y85" s="31" t="s">
        <v>636</v>
      </c>
      <c r="Z85" s="30">
        <v>-19.899999999999999</v>
      </c>
      <c r="AA85" s="30">
        <v>-17.600000000000001</v>
      </c>
      <c r="AB85" s="30">
        <v>-10.1</v>
      </c>
      <c r="AC85" s="30">
        <v>-1.8</v>
      </c>
      <c r="AD85" s="30">
        <v>5.6</v>
      </c>
      <c r="AE85" s="30">
        <v>12.1</v>
      </c>
      <c r="AF85" s="30">
        <v>14.2</v>
      </c>
      <c r="AG85" s="30">
        <v>12</v>
      </c>
      <c r="AH85" s="30">
        <v>5.5</v>
      </c>
      <c r="AI85" s="30">
        <v>-2.2000000000000002</v>
      </c>
      <c r="AJ85" s="30">
        <v>-11.8</v>
      </c>
      <c r="AK85" s="30">
        <v>-18.2</v>
      </c>
      <c r="AL85" s="30">
        <v>-2.7</v>
      </c>
    </row>
    <row r="86" spans="1:38" x14ac:dyDescent="0.25">
      <c r="A86" s="31" t="s">
        <v>775</v>
      </c>
      <c r="B86" s="30">
        <v>-35</v>
      </c>
      <c r="C86" s="30">
        <v>-35</v>
      </c>
      <c r="D86" s="30">
        <v>-32</v>
      </c>
      <c r="E86" s="30">
        <v>-32</v>
      </c>
      <c r="F86" s="30">
        <v>-26</v>
      </c>
      <c r="G86" s="30">
        <v>-47</v>
      </c>
      <c r="H86" s="30">
        <v>7.3</v>
      </c>
      <c r="I86" s="30">
        <v>194</v>
      </c>
      <c r="J86" s="30">
        <v>-14</v>
      </c>
      <c r="K86" s="30">
        <v>255</v>
      </c>
      <c r="L86" s="30">
        <v>-9.6</v>
      </c>
      <c r="M86" s="30">
        <v>271</v>
      </c>
      <c r="N86" s="30">
        <v>-8.5</v>
      </c>
      <c r="O86" s="30">
        <v>74</v>
      </c>
      <c r="P86" s="30">
        <v>71</v>
      </c>
      <c r="Q86" s="30">
        <v>71</v>
      </c>
      <c r="R86" s="30" t="s">
        <v>165</v>
      </c>
      <c r="S86" s="30">
        <v>1.9</v>
      </c>
      <c r="T86" s="30">
        <v>1.8</v>
      </c>
      <c r="U86" s="34">
        <v>4</v>
      </c>
      <c r="Y86" s="31" t="s">
        <v>635</v>
      </c>
      <c r="Z86" s="30">
        <v>-21.9</v>
      </c>
      <c r="AA86" s="30">
        <v>-20.3</v>
      </c>
      <c r="AB86" s="30">
        <v>-12.5</v>
      </c>
      <c r="AC86" s="30">
        <v>-2.5</v>
      </c>
      <c r="AD86" s="30">
        <v>5.0999999999999996</v>
      </c>
      <c r="AE86" s="30">
        <v>12.1</v>
      </c>
      <c r="AF86" s="30">
        <v>16.3</v>
      </c>
      <c r="AG86" s="30">
        <v>15</v>
      </c>
      <c r="AH86" s="30">
        <v>8.3000000000000007</v>
      </c>
      <c r="AI86" s="30">
        <v>-0.6</v>
      </c>
      <c r="AJ86" s="30">
        <v>-10.7</v>
      </c>
      <c r="AK86" s="30">
        <v>-17.3</v>
      </c>
      <c r="AL86" s="30">
        <v>-2.4</v>
      </c>
    </row>
    <row r="87" spans="1:38" x14ac:dyDescent="0.25">
      <c r="A87" s="31" t="s">
        <v>776</v>
      </c>
      <c r="B87" s="30">
        <v>-42</v>
      </c>
      <c r="C87" s="30">
        <v>-38</v>
      </c>
      <c r="D87" s="30">
        <v>-38</v>
      </c>
      <c r="E87" s="30">
        <v>-36</v>
      </c>
      <c r="F87" s="30">
        <v>-28</v>
      </c>
      <c r="G87" s="30">
        <v>-49</v>
      </c>
      <c r="H87" s="30">
        <v>11.2</v>
      </c>
      <c r="I87" s="30">
        <v>197</v>
      </c>
      <c r="J87" s="30">
        <v>-14.9</v>
      </c>
      <c r="K87" s="30">
        <v>258</v>
      </c>
      <c r="L87" s="30">
        <v>-10.5</v>
      </c>
      <c r="M87" s="30">
        <v>271</v>
      </c>
      <c r="N87" s="30">
        <v>-9.5</v>
      </c>
      <c r="O87" s="30">
        <v>77</v>
      </c>
      <c r="P87" s="30">
        <v>75</v>
      </c>
      <c r="Q87" s="30">
        <v>18</v>
      </c>
      <c r="R87" s="30" t="s">
        <v>142</v>
      </c>
      <c r="S87" s="30">
        <v>5</v>
      </c>
      <c r="T87" s="30">
        <v>3.5</v>
      </c>
      <c r="U87" s="34">
        <v>4</v>
      </c>
      <c r="Y87" s="31" t="s">
        <v>634</v>
      </c>
      <c r="Z87" s="30">
        <v>-24</v>
      </c>
      <c r="AA87" s="30">
        <v>-20.2</v>
      </c>
      <c r="AB87" s="30">
        <v>-12.1</v>
      </c>
      <c r="AC87" s="30">
        <v>-2.2000000000000002</v>
      </c>
      <c r="AD87" s="30">
        <v>5.4</v>
      </c>
      <c r="AE87" s="30">
        <v>14</v>
      </c>
      <c r="AF87" s="30">
        <v>16.7</v>
      </c>
      <c r="AG87" s="30">
        <v>13.9</v>
      </c>
      <c r="AH87" s="30">
        <v>6.8</v>
      </c>
      <c r="AI87" s="30">
        <v>-2.2000000000000002</v>
      </c>
      <c r="AJ87" s="30">
        <v>-12.9</v>
      </c>
      <c r="AK87" s="30">
        <v>-20.6</v>
      </c>
      <c r="AL87" s="30">
        <v>-3.1</v>
      </c>
    </row>
    <row r="88" spans="1:38" x14ac:dyDescent="0.25">
      <c r="A88" s="31" t="s">
        <v>633</v>
      </c>
      <c r="B88" s="30">
        <v>-43</v>
      </c>
      <c r="C88" s="30">
        <v>-42</v>
      </c>
      <c r="D88" s="30">
        <v>-42</v>
      </c>
      <c r="E88" s="30">
        <v>-40</v>
      </c>
      <c r="F88" s="30">
        <v>-33</v>
      </c>
      <c r="G88" s="30">
        <v>-48</v>
      </c>
      <c r="H88" s="30">
        <v>10.4</v>
      </c>
      <c r="I88" s="30">
        <v>217</v>
      </c>
      <c r="J88" s="30">
        <v>-17.100000000000001</v>
      </c>
      <c r="K88" s="30">
        <v>274</v>
      </c>
      <c r="L88" s="30">
        <v>-12.7</v>
      </c>
      <c r="M88" s="30">
        <v>290</v>
      </c>
      <c r="N88" s="30">
        <v>-11.4</v>
      </c>
      <c r="O88" s="30">
        <v>74</v>
      </c>
      <c r="P88" s="30">
        <v>70</v>
      </c>
      <c r="Q88" s="30">
        <v>26</v>
      </c>
      <c r="R88" s="30" t="s">
        <v>140</v>
      </c>
      <c r="S88" s="30" t="s">
        <v>41</v>
      </c>
      <c r="T88" s="30" t="s">
        <v>41</v>
      </c>
      <c r="U88" s="34">
        <v>4</v>
      </c>
      <c r="Y88" s="31" t="s">
        <v>633</v>
      </c>
      <c r="Z88" s="30">
        <v>-28.3</v>
      </c>
      <c r="AA88" s="30">
        <v>-24.5</v>
      </c>
      <c r="AB88" s="30">
        <v>-15.7</v>
      </c>
      <c r="AC88" s="30">
        <v>-5.2</v>
      </c>
      <c r="AD88" s="30">
        <v>3.5</v>
      </c>
      <c r="AE88" s="30">
        <v>11.6</v>
      </c>
      <c r="AF88" s="30">
        <v>14.8</v>
      </c>
      <c r="AG88" s="30">
        <v>11.8</v>
      </c>
      <c r="AH88" s="30">
        <v>4.7</v>
      </c>
      <c r="AI88" s="30">
        <v>-6</v>
      </c>
      <c r="AJ88" s="30">
        <v>-18.7</v>
      </c>
      <c r="AK88" s="30">
        <v>-26.5</v>
      </c>
      <c r="AL88" s="30">
        <v>-6.5</v>
      </c>
    </row>
    <row r="89" spans="1:38" x14ac:dyDescent="0.25">
      <c r="A89" s="31" t="s">
        <v>777</v>
      </c>
      <c r="B89" s="30">
        <v>-38</v>
      </c>
      <c r="C89" s="30">
        <v>-37</v>
      </c>
      <c r="D89" s="30">
        <v>-36</v>
      </c>
      <c r="E89" s="30">
        <v>-35</v>
      </c>
      <c r="F89" s="30">
        <v>-28</v>
      </c>
      <c r="G89" s="30">
        <v>-51</v>
      </c>
      <c r="H89" s="30">
        <v>9.9</v>
      </c>
      <c r="I89" s="30">
        <v>175</v>
      </c>
      <c r="J89" s="30">
        <v>-14.8</v>
      </c>
      <c r="K89" s="30">
        <v>230</v>
      </c>
      <c r="L89" s="30">
        <v>-10.3</v>
      </c>
      <c r="M89" s="30">
        <v>246</v>
      </c>
      <c r="N89" s="30">
        <v>-9</v>
      </c>
      <c r="O89" s="30">
        <v>76</v>
      </c>
      <c r="P89" s="30">
        <v>70</v>
      </c>
      <c r="Q89" s="30">
        <v>28</v>
      </c>
      <c r="R89" s="30" t="s">
        <v>142</v>
      </c>
      <c r="S89" s="30">
        <v>2.1</v>
      </c>
      <c r="T89" s="30">
        <v>1.9</v>
      </c>
      <c r="U89" s="34">
        <v>4</v>
      </c>
      <c r="Y89" s="31" t="s">
        <v>632</v>
      </c>
      <c r="Z89" s="30">
        <v>-23.8</v>
      </c>
      <c r="AA89" s="30">
        <v>-19</v>
      </c>
      <c r="AB89" s="30">
        <v>-8</v>
      </c>
      <c r="AC89" s="30">
        <v>2</v>
      </c>
      <c r="AD89" s="30">
        <v>10.199999999999999</v>
      </c>
      <c r="AE89" s="30">
        <v>16.899999999999999</v>
      </c>
      <c r="AF89" s="30">
        <v>19.600000000000001</v>
      </c>
      <c r="AG89" s="30">
        <v>16.8</v>
      </c>
      <c r="AH89" s="30">
        <v>9.4</v>
      </c>
      <c r="AI89" s="30">
        <v>0.4</v>
      </c>
      <c r="AJ89" s="30">
        <v>-10.5</v>
      </c>
      <c r="AK89" s="30">
        <v>-19.7</v>
      </c>
      <c r="AL89" s="30">
        <v>-0.5</v>
      </c>
    </row>
    <row r="90" spans="1:38" x14ac:dyDescent="0.25">
      <c r="A90" s="31" t="s">
        <v>631</v>
      </c>
      <c r="B90" s="30">
        <v>-44</v>
      </c>
      <c r="C90" s="30">
        <v>-41</v>
      </c>
      <c r="D90" s="30">
        <v>-43</v>
      </c>
      <c r="E90" s="30">
        <v>-39</v>
      </c>
      <c r="F90" s="30">
        <v>-31</v>
      </c>
      <c r="G90" s="30">
        <v>-49</v>
      </c>
      <c r="H90" s="30">
        <v>12.7</v>
      </c>
      <c r="I90" s="30">
        <v>184</v>
      </c>
      <c r="J90" s="30">
        <v>-15.4</v>
      </c>
      <c r="K90" s="30">
        <v>241</v>
      </c>
      <c r="L90" s="30">
        <v>-10.8</v>
      </c>
      <c r="M90" s="30">
        <v>257</v>
      </c>
      <c r="N90" s="30">
        <v>-9.6</v>
      </c>
      <c r="O90" s="30">
        <v>75</v>
      </c>
      <c r="P90" s="30">
        <v>72</v>
      </c>
      <c r="Q90" s="30">
        <v>25</v>
      </c>
      <c r="R90" s="30" t="s">
        <v>142</v>
      </c>
      <c r="S90" s="30" t="s">
        <v>41</v>
      </c>
      <c r="T90" s="30" t="s">
        <v>41</v>
      </c>
      <c r="U90" s="34">
        <v>4</v>
      </c>
      <c r="Y90" s="31" t="s">
        <v>631</v>
      </c>
      <c r="Z90" s="30">
        <v>-25.6</v>
      </c>
      <c r="AA90" s="30">
        <v>-22</v>
      </c>
      <c r="AB90" s="30">
        <v>-10.7</v>
      </c>
      <c r="AC90" s="30">
        <v>0.4</v>
      </c>
      <c r="AD90" s="30">
        <v>8.4</v>
      </c>
      <c r="AE90" s="30">
        <v>16.2</v>
      </c>
      <c r="AF90" s="30">
        <v>18.8</v>
      </c>
      <c r="AG90" s="30">
        <v>15.8</v>
      </c>
      <c r="AH90" s="30">
        <v>8</v>
      </c>
      <c r="AI90" s="30">
        <v>-1.1000000000000001</v>
      </c>
      <c r="AJ90" s="30">
        <v>-13.4</v>
      </c>
      <c r="AK90" s="30">
        <v>-21.9</v>
      </c>
      <c r="AL90" s="30">
        <v>-2.2999999999999998</v>
      </c>
    </row>
    <row r="91" spans="1:38" ht="25.5" x14ac:dyDescent="0.25">
      <c r="A91" s="33" t="s">
        <v>630</v>
      </c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34"/>
      <c r="Y91" s="33" t="s">
        <v>630</v>
      </c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</row>
    <row r="92" spans="1:38" x14ac:dyDescent="0.25">
      <c r="A92" s="31" t="s">
        <v>629</v>
      </c>
      <c r="B92" s="30">
        <v>-38</v>
      </c>
      <c r="C92" s="30">
        <v>-34</v>
      </c>
      <c r="D92" s="30">
        <v>-32</v>
      </c>
      <c r="E92" s="30">
        <v>-28</v>
      </c>
      <c r="F92" s="30">
        <v>-16</v>
      </c>
      <c r="G92" s="30">
        <v>-48</v>
      </c>
      <c r="H92" s="30">
        <v>6.3</v>
      </c>
      <c r="I92" s="30">
        <v>148</v>
      </c>
      <c r="J92" s="30">
        <v>-6.9</v>
      </c>
      <c r="K92" s="30">
        <v>213</v>
      </c>
      <c r="L92" s="30">
        <v>-3.5</v>
      </c>
      <c r="M92" s="30">
        <v>230</v>
      </c>
      <c r="N92" s="30">
        <v>-2.6</v>
      </c>
      <c r="O92" s="30">
        <v>84</v>
      </c>
      <c r="P92" s="30">
        <v>83</v>
      </c>
      <c r="Q92" s="30">
        <v>194</v>
      </c>
      <c r="R92" s="30" t="s">
        <v>150</v>
      </c>
      <c r="S92" s="30">
        <v>4.5</v>
      </c>
      <c r="T92" s="30">
        <v>3.4</v>
      </c>
      <c r="U92" s="34">
        <v>0</v>
      </c>
      <c r="Y92" s="31" t="s">
        <v>629</v>
      </c>
      <c r="Z92" s="30">
        <v>-11.1</v>
      </c>
      <c r="AA92" s="30">
        <v>-10</v>
      </c>
      <c r="AB92" s="30">
        <v>-4.3</v>
      </c>
      <c r="AC92" s="30">
        <v>4.9000000000000004</v>
      </c>
      <c r="AD92" s="30">
        <v>12.2</v>
      </c>
      <c r="AE92" s="30">
        <v>16.600000000000001</v>
      </c>
      <c r="AF92" s="30">
        <v>17.899999999999999</v>
      </c>
      <c r="AG92" s="30">
        <v>16.399999999999999</v>
      </c>
      <c r="AH92" s="30">
        <v>10.7</v>
      </c>
      <c r="AI92" s="30">
        <v>3.7</v>
      </c>
      <c r="AJ92" s="30">
        <v>-2.7</v>
      </c>
      <c r="AK92" s="30">
        <v>-7.5</v>
      </c>
      <c r="AL92" s="30">
        <v>3.9</v>
      </c>
    </row>
    <row r="93" spans="1:38" x14ac:dyDescent="0.25">
      <c r="A93" s="31" t="s">
        <v>628</v>
      </c>
      <c r="B93" s="30">
        <v>-39</v>
      </c>
      <c r="C93" s="30">
        <v>-35</v>
      </c>
      <c r="D93" s="30">
        <v>-33</v>
      </c>
      <c r="E93" s="30">
        <v>-30</v>
      </c>
      <c r="F93" s="30">
        <v>-16</v>
      </c>
      <c r="G93" s="30">
        <v>-45</v>
      </c>
      <c r="H93" s="30">
        <v>6.4</v>
      </c>
      <c r="I93" s="30">
        <v>150</v>
      </c>
      <c r="J93" s="30">
        <v>-7.4</v>
      </c>
      <c r="K93" s="30">
        <v>214</v>
      </c>
      <c r="L93" s="30">
        <v>-4</v>
      </c>
      <c r="M93" s="30">
        <v>230</v>
      </c>
      <c r="N93" s="30">
        <v>-3.1</v>
      </c>
      <c r="O93" s="30">
        <v>84</v>
      </c>
      <c r="P93" s="30">
        <v>83</v>
      </c>
      <c r="Q93" s="30">
        <v>166</v>
      </c>
      <c r="R93" s="30" t="s">
        <v>150</v>
      </c>
      <c r="S93" s="30" t="s">
        <v>41</v>
      </c>
      <c r="T93" s="30">
        <v>4.0999999999999996</v>
      </c>
      <c r="U93" s="34">
        <v>0</v>
      </c>
      <c r="Y93" s="31" t="s">
        <v>628</v>
      </c>
      <c r="Z93" s="30">
        <v>-11.5</v>
      </c>
      <c r="AA93" s="30">
        <v>-10.9</v>
      </c>
      <c r="AB93" s="30">
        <v>-4.9000000000000004</v>
      </c>
      <c r="AC93" s="30">
        <v>4.7</v>
      </c>
      <c r="AD93" s="30">
        <v>12.5</v>
      </c>
      <c r="AE93" s="30">
        <v>16.7</v>
      </c>
      <c r="AF93" s="30">
        <v>18.7</v>
      </c>
      <c r="AG93" s="30">
        <v>17.2</v>
      </c>
      <c r="AH93" s="30">
        <v>11.3</v>
      </c>
      <c r="AI93" s="30">
        <v>4.0999999999999996</v>
      </c>
      <c r="AJ93" s="30">
        <v>-2.2999999999999998</v>
      </c>
      <c r="AK93" s="30">
        <v>-8.1999999999999993</v>
      </c>
      <c r="AL93" s="30">
        <v>4</v>
      </c>
    </row>
    <row r="94" spans="1:38" ht="25.5" x14ac:dyDescent="0.25">
      <c r="A94" s="33" t="s">
        <v>627</v>
      </c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34"/>
      <c r="Y94" s="33" t="s">
        <v>627</v>
      </c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</row>
    <row r="95" spans="1:38" x14ac:dyDescent="0.25">
      <c r="A95" s="31" t="s">
        <v>778</v>
      </c>
      <c r="B95" s="30">
        <v>-27</v>
      </c>
      <c r="C95" s="30">
        <v>-26</v>
      </c>
      <c r="D95" s="30">
        <v>-25</v>
      </c>
      <c r="E95" s="30">
        <v>-22</v>
      </c>
      <c r="F95" s="30">
        <v>-12</v>
      </c>
      <c r="G95" s="30">
        <v>-35</v>
      </c>
      <c r="H95" s="30">
        <v>5.6</v>
      </c>
      <c r="I95" s="30">
        <v>122</v>
      </c>
      <c r="J95" s="30">
        <v>-5.0999999999999996</v>
      </c>
      <c r="K95" s="30">
        <v>176</v>
      </c>
      <c r="L95" s="30">
        <v>-2.2999999999999998</v>
      </c>
      <c r="M95" s="30">
        <v>190</v>
      </c>
      <c r="N95" s="30">
        <v>-1.5</v>
      </c>
      <c r="O95" s="30">
        <v>85</v>
      </c>
      <c r="P95" s="30">
        <v>82</v>
      </c>
      <c r="Q95" s="30">
        <v>151</v>
      </c>
      <c r="R95" s="30" t="s">
        <v>142</v>
      </c>
      <c r="S95" s="30">
        <v>5.0999999999999996</v>
      </c>
      <c r="T95" s="30">
        <v>3.9</v>
      </c>
      <c r="U95" s="34">
        <v>0</v>
      </c>
      <c r="Y95" s="31" t="s">
        <v>626</v>
      </c>
      <c r="Z95" s="30">
        <v>-6.9</v>
      </c>
      <c r="AA95" s="30">
        <v>-6.5</v>
      </c>
      <c r="AB95" s="30">
        <v>-0.3</v>
      </c>
      <c r="AC95" s="30">
        <v>10</v>
      </c>
      <c r="AD95" s="30">
        <v>16.8</v>
      </c>
      <c r="AE95" s="30">
        <v>21.4</v>
      </c>
      <c r="AF95" s="30">
        <v>23.9</v>
      </c>
      <c r="AG95" s="30">
        <v>22.7</v>
      </c>
      <c r="AH95" s="30">
        <v>16.3</v>
      </c>
      <c r="AI95" s="30">
        <v>8.3000000000000007</v>
      </c>
      <c r="AJ95" s="30">
        <v>1.1000000000000001</v>
      </c>
      <c r="AK95" s="30">
        <v>-4.4000000000000004</v>
      </c>
      <c r="AL95" s="30">
        <v>8.5</v>
      </c>
    </row>
    <row r="96" spans="1:38" x14ac:dyDescent="0.25">
      <c r="A96" s="31" t="s">
        <v>625</v>
      </c>
      <c r="B96" s="30">
        <v>-32</v>
      </c>
      <c r="C96" s="30">
        <v>-30</v>
      </c>
      <c r="D96" s="30">
        <v>-29</v>
      </c>
      <c r="E96" s="30">
        <v>-26</v>
      </c>
      <c r="F96" s="30">
        <v>-12</v>
      </c>
      <c r="G96" s="30">
        <v>-37</v>
      </c>
      <c r="H96" s="30">
        <v>7.1</v>
      </c>
      <c r="I96" s="30">
        <v>134</v>
      </c>
      <c r="J96" s="30">
        <v>-7.2</v>
      </c>
      <c r="K96" s="30">
        <v>188</v>
      </c>
      <c r="L96" s="30">
        <v>-4.0999999999999996</v>
      </c>
      <c r="M96" s="30">
        <v>200</v>
      </c>
      <c r="N96" s="30">
        <v>-3.3</v>
      </c>
      <c r="O96" s="30">
        <v>86</v>
      </c>
      <c r="P96" s="30">
        <v>81</v>
      </c>
      <c r="Q96" s="30">
        <v>220</v>
      </c>
      <c r="R96" s="30" t="s">
        <v>138</v>
      </c>
      <c r="S96" s="30">
        <v>8.5</v>
      </c>
      <c r="T96" s="30">
        <v>6.4</v>
      </c>
      <c r="U96" s="34">
        <v>0</v>
      </c>
      <c r="Y96" s="31" t="s">
        <v>625</v>
      </c>
      <c r="Z96" s="30">
        <v>-10.4</v>
      </c>
      <c r="AA96" s="30">
        <v>-9.9</v>
      </c>
      <c r="AB96" s="30">
        <v>-4</v>
      </c>
      <c r="AC96" s="30">
        <v>7.7</v>
      </c>
      <c r="AD96" s="30">
        <v>16.2</v>
      </c>
      <c r="AE96" s="30">
        <v>20.7</v>
      </c>
      <c r="AF96" s="30">
        <v>23.2</v>
      </c>
      <c r="AG96" s="30">
        <v>21.5</v>
      </c>
      <c r="AH96" s="30">
        <v>15.1</v>
      </c>
      <c r="AI96" s="30">
        <v>6.7</v>
      </c>
      <c r="AJ96" s="30">
        <v>-0.8</v>
      </c>
      <c r="AK96" s="30">
        <v>-6.7</v>
      </c>
      <c r="AL96" s="30">
        <v>6.6</v>
      </c>
    </row>
    <row r="97" spans="1:38" x14ac:dyDescent="0.25">
      <c r="A97" s="31" t="s">
        <v>624</v>
      </c>
      <c r="B97" s="30">
        <v>-32</v>
      </c>
      <c r="C97" s="30">
        <v>-30</v>
      </c>
      <c r="D97" s="30">
        <v>-29</v>
      </c>
      <c r="E97" s="30">
        <v>-26</v>
      </c>
      <c r="F97" s="30" t="s">
        <v>41</v>
      </c>
      <c r="G97" s="30">
        <v>-40</v>
      </c>
      <c r="H97" s="30">
        <v>8.1</v>
      </c>
      <c r="I97" s="30">
        <v>146</v>
      </c>
      <c r="J97" s="30">
        <v>-6.7</v>
      </c>
      <c r="K97" s="30">
        <v>190</v>
      </c>
      <c r="L97" s="30">
        <v>-3.9</v>
      </c>
      <c r="M97" s="30">
        <v>205</v>
      </c>
      <c r="N97" s="30">
        <v>-3.1</v>
      </c>
      <c r="O97" s="30">
        <v>84</v>
      </c>
      <c r="P97" s="30">
        <v>81</v>
      </c>
      <c r="Q97" s="30">
        <v>109</v>
      </c>
      <c r="R97" s="30" t="s">
        <v>138</v>
      </c>
      <c r="S97" s="30" t="s">
        <v>41</v>
      </c>
      <c r="T97" s="30">
        <v>4.2</v>
      </c>
      <c r="U97" s="34">
        <v>0</v>
      </c>
      <c r="Y97" s="31" t="s">
        <v>624</v>
      </c>
      <c r="Z97" s="30">
        <v>-11.7</v>
      </c>
      <c r="AA97" s="30">
        <v>-11.6</v>
      </c>
      <c r="AB97" s="30">
        <v>-5.2</v>
      </c>
      <c r="AC97" s="30">
        <v>7.2</v>
      </c>
      <c r="AD97" s="30">
        <v>15.7</v>
      </c>
      <c r="AE97" s="30">
        <v>20.2</v>
      </c>
      <c r="AF97" s="30">
        <v>22.7</v>
      </c>
      <c r="AG97" s="30">
        <v>21</v>
      </c>
      <c r="AH97" s="30">
        <v>14.5</v>
      </c>
      <c r="AI97" s="30">
        <v>6</v>
      </c>
      <c r="AJ97" s="30">
        <v>-1.3</v>
      </c>
      <c r="AK97" s="30">
        <v>-8.1</v>
      </c>
      <c r="AL97" s="30">
        <v>5.8</v>
      </c>
    </row>
    <row r="98" spans="1:38" x14ac:dyDescent="0.25">
      <c r="A98" s="31" t="s">
        <v>623</v>
      </c>
      <c r="B98" s="30">
        <v>-32</v>
      </c>
      <c r="C98" s="30">
        <v>-29</v>
      </c>
      <c r="D98" s="30">
        <v>-27</v>
      </c>
      <c r="E98" s="30">
        <v>-24</v>
      </c>
      <c r="F98" s="30">
        <v>-12</v>
      </c>
      <c r="G98" s="30">
        <v>-38</v>
      </c>
      <c r="H98" s="30">
        <v>6.8</v>
      </c>
      <c r="I98" s="30">
        <v>112</v>
      </c>
      <c r="J98" s="30">
        <v>-4.7</v>
      </c>
      <c r="K98" s="30">
        <v>176</v>
      </c>
      <c r="L98" s="30">
        <v>-1.6</v>
      </c>
      <c r="M98" s="30">
        <v>190</v>
      </c>
      <c r="N98" s="30">
        <v>-0.8</v>
      </c>
      <c r="O98" s="30">
        <v>85</v>
      </c>
      <c r="P98" s="30">
        <v>84</v>
      </c>
      <c r="Q98" s="30">
        <v>161</v>
      </c>
      <c r="R98" s="30" t="s">
        <v>146</v>
      </c>
      <c r="S98" s="30">
        <v>4.2</v>
      </c>
      <c r="T98" s="30">
        <v>4.0999999999999996</v>
      </c>
      <c r="U98" s="34">
        <v>0</v>
      </c>
      <c r="Y98" s="31" t="s">
        <v>623</v>
      </c>
      <c r="Z98" s="30">
        <v>-7.4</v>
      </c>
      <c r="AA98" s="30">
        <v>-6.8</v>
      </c>
      <c r="AB98" s="30">
        <v>-0.8</v>
      </c>
      <c r="AC98" s="30">
        <v>9.5</v>
      </c>
      <c r="AD98" s="30">
        <v>17</v>
      </c>
      <c r="AE98" s="30">
        <v>21.2</v>
      </c>
      <c r="AF98" s="30">
        <v>24</v>
      </c>
      <c r="AG98" s="30">
        <v>22.7</v>
      </c>
      <c r="AH98" s="30">
        <v>16.2</v>
      </c>
      <c r="AI98" s="30">
        <v>8.3000000000000007</v>
      </c>
      <c r="AJ98" s="30">
        <v>1.9</v>
      </c>
      <c r="AK98" s="30">
        <v>-3.7</v>
      </c>
      <c r="AL98" s="30">
        <v>8.5</v>
      </c>
    </row>
    <row r="99" spans="1:38" x14ac:dyDescent="0.25">
      <c r="A99" s="31" t="s">
        <v>622</v>
      </c>
      <c r="B99" s="30">
        <v>-32</v>
      </c>
      <c r="C99" s="30">
        <v>-30</v>
      </c>
      <c r="D99" s="30">
        <v>-29</v>
      </c>
      <c r="E99" s="30">
        <v>-26</v>
      </c>
      <c r="F99" s="30" t="s">
        <v>41</v>
      </c>
      <c r="G99" s="30">
        <v>-38</v>
      </c>
      <c r="H99" s="30">
        <v>7.2</v>
      </c>
      <c r="I99" s="30">
        <v>139</v>
      </c>
      <c r="J99" s="30">
        <v>-5.7</v>
      </c>
      <c r="K99" s="30">
        <v>191</v>
      </c>
      <c r="L99" s="30">
        <v>-3.4</v>
      </c>
      <c r="M99" s="30">
        <v>204</v>
      </c>
      <c r="N99" s="30">
        <v>-2.6</v>
      </c>
      <c r="O99" s="30">
        <v>82</v>
      </c>
      <c r="P99" s="30">
        <v>80</v>
      </c>
      <c r="Q99" s="30">
        <v>177</v>
      </c>
      <c r="R99" s="30" t="s">
        <v>185</v>
      </c>
      <c r="S99" s="30" t="s">
        <v>41</v>
      </c>
      <c r="T99" s="30">
        <v>3.8</v>
      </c>
      <c r="U99" s="34">
        <v>0</v>
      </c>
      <c r="Y99" s="31" t="s">
        <v>622</v>
      </c>
      <c r="Z99" s="30">
        <v>-10</v>
      </c>
      <c r="AA99" s="30">
        <v>-9.1</v>
      </c>
      <c r="AB99" s="30">
        <v>-3.4</v>
      </c>
      <c r="AC99" s="30">
        <v>7.8</v>
      </c>
      <c r="AD99" s="30">
        <v>15.4</v>
      </c>
      <c r="AE99" s="30">
        <v>19.600000000000001</v>
      </c>
      <c r="AF99" s="30">
        <v>21.4</v>
      </c>
      <c r="AG99" s="30">
        <v>20.2</v>
      </c>
      <c r="AH99" s="30">
        <v>14</v>
      </c>
      <c r="AI99" s="30">
        <v>5.9</v>
      </c>
      <c r="AJ99" s="30">
        <v>-0.5</v>
      </c>
      <c r="AK99" s="30">
        <v>-5.8</v>
      </c>
      <c r="AL99" s="30">
        <v>6.3</v>
      </c>
    </row>
    <row r="100" spans="1:38" x14ac:dyDescent="0.25">
      <c r="A100" s="31" t="s">
        <v>779</v>
      </c>
      <c r="B100" s="30">
        <v>-31</v>
      </c>
      <c r="C100" s="30">
        <v>-28</v>
      </c>
      <c r="D100" s="30">
        <v>-28</v>
      </c>
      <c r="E100" s="30">
        <v>-25</v>
      </c>
      <c r="F100" s="30">
        <v>-13</v>
      </c>
      <c r="G100" s="30">
        <v>-36</v>
      </c>
      <c r="H100" s="30">
        <v>6.8</v>
      </c>
      <c r="I100" s="30">
        <v>126</v>
      </c>
      <c r="J100" s="30">
        <v>-6.1</v>
      </c>
      <c r="K100" s="30">
        <v>177</v>
      </c>
      <c r="L100" s="30">
        <v>-3.2</v>
      </c>
      <c r="M100" s="30">
        <v>191</v>
      </c>
      <c r="N100" s="30">
        <v>-2.2999999999999998</v>
      </c>
      <c r="O100" s="30">
        <v>81</v>
      </c>
      <c r="P100" s="30">
        <v>78</v>
      </c>
      <c r="Q100" s="30">
        <v>97</v>
      </c>
      <c r="R100" s="30" t="s">
        <v>146</v>
      </c>
      <c r="S100" s="30">
        <v>5.7</v>
      </c>
      <c r="T100" s="30">
        <v>4.7</v>
      </c>
      <c r="U100" s="34">
        <v>0</v>
      </c>
      <c r="Y100" s="31" t="s">
        <v>621</v>
      </c>
      <c r="Z100" s="30">
        <v>-8.1999999999999993</v>
      </c>
      <c r="AA100" s="30">
        <v>-7.9</v>
      </c>
      <c r="AB100" s="30">
        <v>-1</v>
      </c>
      <c r="AC100" s="30">
        <v>10.199999999999999</v>
      </c>
      <c r="AD100" s="30">
        <v>17.5</v>
      </c>
      <c r="AE100" s="30">
        <v>22.5</v>
      </c>
      <c r="AF100" s="30">
        <v>24.9</v>
      </c>
      <c r="AG100" s="30">
        <v>23.4</v>
      </c>
      <c r="AH100" s="30">
        <v>16.600000000000001</v>
      </c>
      <c r="AI100" s="30">
        <v>8</v>
      </c>
      <c r="AJ100" s="30">
        <v>0.6</v>
      </c>
      <c r="AK100" s="30">
        <v>-5.3</v>
      </c>
      <c r="AL100" s="30">
        <v>8.4</v>
      </c>
    </row>
    <row r="101" spans="1:38" x14ac:dyDescent="0.25">
      <c r="A101" s="33" t="s">
        <v>620</v>
      </c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34"/>
      <c r="Y101" s="33" t="s">
        <v>620</v>
      </c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</row>
    <row r="102" spans="1:38" x14ac:dyDescent="0.25">
      <c r="A102" s="31" t="s">
        <v>619</v>
      </c>
      <c r="B102" s="30">
        <v>-40</v>
      </c>
      <c r="C102" s="30">
        <v>-36</v>
      </c>
      <c r="D102" s="30">
        <v>-36</v>
      </c>
      <c r="E102" s="30">
        <v>-31</v>
      </c>
      <c r="F102" s="30">
        <v>-17</v>
      </c>
      <c r="G102" s="30">
        <v>-47</v>
      </c>
      <c r="H102" s="30">
        <v>7.5</v>
      </c>
      <c r="I102" s="30">
        <v>158</v>
      </c>
      <c r="J102" s="30">
        <v>-7.3</v>
      </c>
      <c r="K102" s="30">
        <v>231</v>
      </c>
      <c r="L102" s="30">
        <v>-3.8</v>
      </c>
      <c r="M102" s="30">
        <v>250</v>
      </c>
      <c r="N102" s="30">
        <v>-2.7</v>
      </c>
      <c r="O102" s="30">
        <v>86</v>
      </c>
      <c r="P102" s="30">
        <v>84</v>
      </c>
      <c r="Q102" s="30">
        <v>174</v>
      </c>
      <c r="R102" s="30" t="s">
        <v>155</v>
      </c>
      <c r="S102" s="30" t="s">
        <v>41</v>
      </c>
      <c r="T102" s="30">
        <v>3.6</v>
      </c>
      <c r="U102" s="34">
        <v>0</v>
      </c>
      <c r="Y102" s="31" t="s">
        <v>619</v>
      </c>
      <c r="Z102" s="30">
        <v>-11.6</v>
      </c>
      <c r="AA102" s="30">
        <v>-10.5</v>
      </c>
      <c r="AB102" s="30">
        <v>-5.4</v>
      </c>
      <c r="AC102" s="30">
        <v>2.4</v>
      </c>
      <c r="AD102" s="30">
        <v>9.5</v>
      </c>
      <c r="AE102" s="30">
        <v>14.7</v>
      </c>
      <c r="AF102" s="30">
        <v>16.8</v>
      </c>
      <c r="AG102" s="30">
        <v>14.9</v>
      </c>
      <c r="AH102" s="30">
        <v>9.1999999999999993</v>
      </c>
      <c r="AI102" s="30">
        <v>2.9</v>
      </c>
      <c r="AJ102" s="30">
        <v>-2.6</v>
      </c>
      <c r="AK102" s="30">
        <v>-8</v>
      </c>
      <c r="AL102" s="30">
        <v>2.7</v>
      </c>
    </row>
    <row r="103" spans="1:38" x14ac:dyDescent="0.25">
      <c r="A103" s="31" t="s">
        <v>780</v>
      </c>
      <c r="B103" s="30">
        <v>-42</v>
      </c>
      <c r="C103" s="30">
        <v>-37</v>
      </c>
      <c r="D103" s="30">
        <v>-37</v>
      </c>
      <c r="E103" s="30">
        <v>-32</v>
      </c>
      <c r="F103" s="30">
        <v>-15</v>
      </c>
      <c r="G103" s="30">
        <v>-47</v>
      </c>
      <c r="H103" s="30">
        <v>7.4</v>
      </c>
      <c r="I103" s="30">
        <v>157</v>
      </c>
      <c r="J103" s="30">
        <v>-7.6</v>
      </c>
      <c r="K103" s="30">
        <v>228</v>
      </c>
      <c r="L103" s="30">
        <v>-4</v>
      </c>
      <c r="M103" s="30">
        <v>246</v>
      </c>
      <c r="N103" s="30">
        <v>-3</v>
      </c>
      <c r="O103" s="30">
        <v>85</v>
      </c>
      <c r="P103" s="30">
        <v>84</v>
      </c>
      <c r="Q103" s="30">
        <v>163</v>
      </c>
      <c r="R103" s="30" t="s">
        <v>150</v>
      </c>
      <c r="S103" s="30">
        <v>3.9</v>
      </c>
      <c r="T103" s="30">
        <v>3.6</v>
      </c>
      <c r="U103" s="34">
        <v>0</v>
      </c>
      <c r="Y103" s="31" t="s">
        <v>618</v>
      </c>
      <c r="Z103" s="30">
        <v>-11.7</v>
      </c>
      <c r="AA103" s="30">
        <v>-10.5</v>
      </c>
      <c r="AB103" s="30">
        <v>-4</v>
      </c>
      <c r="AC103" s="30">
        <v>3.3</v>
      </c>
      <c r="AD103" s="30">
        <v>10.4</v>
      </c>
      <c r="AE103" s="30">
        <v>15</v>
      </c>
      <c r="AF103" s="30">
        <v>17.3</v>
      </c>
      <c r="AG103" s="30">
        <v>14.7</v>
      </c>
      <c r="AH103" s="30">
        <v>9.1999999999999993</v>
      </c>
      <c r="AI103" s="30">
        <v>3</v>
      </c>
      <c r="AJ103" s="30">
        <v>-3.4</v>
      </c>
      <c r="AK103" s="30">
        <v>-8.6999999999999993</v>
      </c>
      <c r="AL103" s="30">
        <v>2.9</v>
      </c>
    </row>
    <row r="104" spans="1:38" x14ac:dyDescent="0.25">
      <c r="A104" s="31" t="s">
        <v>781</v>
      </c>
      <c r="B104" s="30">
        <v>-40</v>
      </c>
      <c r="C104" s="30">
        <v>-36</v>
      </c>
      <c r="D104" s="30">
        <v>-35</v>
      </c>
      <c r="E104" s="30">
        <v>-32</v>
      </c>
      <c r="F104" s="30">
        <v>-14</v>
      </c>
      <c r="G104" s="30">
        <v>-49</v>
      </c>
      <c r="H104" s="30">
        <v>7.3</v>
      </c>
      <c r="I104" s="30">
        <v>154</v>
      </c>
      <c r="J104" s="30">
        <v>-7</v>
      </c>
      <c r="K104" s="30">
        <v>230</v>
      </c>
      <c r="L104" s="30">
        <v>-3.4</v>
      </c>
      <c r="M104" s="30">
        <v>250</v>
      </c>
      <c r="N104" s="30">
        <v>-2.4</v>
      </c>
      <c r="O104" s="30">
        <v>84</v>
      </c>
      <c r="P104" s="30">
        <v>84</v>
      </c>
      <c r="Q104" s="30">
        <v>210</v>
      </c>
      <c r="R104" s="30" t="s">
        <v>185</v>
      </c>
      <c r="S104" s="30">
        <v>3.5</v>
      </c>
      <c r="T104" s="30">
        <v>3</v>
      </c>
      <c r="U104" s="34">
        <v>0</v>
      </c>
      <c r="Y104" s="31" t="s">
        <v>617</v>
      </c>
      <c r="Z104" s="30">
        <v>-10.9</v>
      </c>
      <c r="AA104" s="30">
        <v>-9.9</v>
      </c>
      <c r="AB104" s="30">
        <v>-3.9</v>
      </c>
      <c r="AC104" s="30">
        <v>2.6</v>
      </c>
      <c r="AD104" s="30">
        <v>9.3000000000000007</v>
      </c>
      <c r="AE104" s="30">
        <v>14.4</v>
      </c>
      <c r="AF104" s="30">
        <v>17.2</v>
      </c>
      <c r="AG104" s="30">
        <v>14.8</v>
      </c>
      <c r="AH104" s="30">
        <v>9.5</v>
      </c>
      <c r="AI104" s="30">
        <v>3.7</v>
      </c>
      <c r="AJ104" s="30">
        <v>-2.6</v>
      </c>
      <c r="AK104" s="30">
        <v>-7.6</v>
      </c>
      <c r="AL104" s="30">
        <v>3.1</v>
      </c>
    </row>
    <row r="105" spans="1:38" x14ac:dyDescent="0.25">
      <c r="A105" s="31" t="s">
        <v>782</v>
      </c>
      <c r="B105" s="30">
        <v>-42</v>
      </c>
      <c r="C105" s="30">
        <v>-38</v>
      </c>
      <c r="D105" s="30">
        <v>-38</v>
      </c>
      <c r="E105" s="30">
        <v>-35</v>
      </c>
      <c r="F105" s="30">
        <v>-16</v>
      </c>
      <c r="G105" s="30">
        <v>-49</v>
      </c>
      <c r="H105" s="30">
        <v>7.3</v>
      </c>
      <c r="I105" s="30">
        <v>162</v>
      </c>
      <c r="J105" s="30">
        <v>-8.5</v>
      </c>
      <c r="K105" s="30">
        <v>231</v>
      </c>
      <c r="L105" s="30">
        <v>-4.7</v>
      </c>
      <c r="M105" s="30">
        <v>250</v>
      </c>
      <c r="N105" s="30">
        <v>-3.7</v>
      </c>
      <c r="O105" s="30">
        <v>84</v>
      </c>
      <c r="P105" s="30">
        <v>84</v>
      </c>
      <c r="Q105" s="30">
        <v>182</v>
      </c>
      <c r="R105" s="30" t="s">
        <v>150</v>
      </c>
      <c r="S105" s="30">
        <v>2.6</v>
      </c>
      <c r="T105" s="30">
        <v>2.4</v>
      </c>
      <c r="U105" s="34">
        <v>0</v>
      </c>
      <c r="Y105" s="31" t="s">
        <v>616</v>
      </c>
      <c r="Z105" s="30">
        <v>-13.3</v>
      </c>
      <c r="AA105" s="30">
        <v>-11.5</v>
      </c>
      <c r="AB105" s="30">
        <v>-4.4000000000000004</v>
      </c>
      <c r="AC105" s="30">
        <v>3</v>
      </c>
      <c r="AD105" s="30">
        <v>9.9</v>
      </c>
      <c r="AE105" s="30">
        <v>15</v>
      </c>
      <c r="AF105" s="30">
        <v>17.399999999999999</v>
      </c>
      <c r="AG105" s="30">
        <v>14.6</v>
      </c>
      <c r="AH105" s="30">
        <v>8.8000000000000007</v>
      </c>
      <c r="AI105" s="30">
        <v>2.2000000000000002</v>
      </c>
      <c r="AJ105" s="30">
        <v>-4.5999999999999996</v>
      </c>
      <c r="AK105" s="30">
        <v>-10.1</v>
      </c>
      <c r="AL105" s="30">
        <v>2.2999999999999998</v>
      </c>
    </row>
    <row r="106" spans="1:38" x14ac:dyDescent="0.25">
      <c r="A106" s="31" t="s">
        <v>783</v>
      </c>
      <c r="B106" s="30">
        <v>-39</v>
      </c>
      <c r="C106" s="30">
        <v>-36</v>
      </c>
      <c r="D106" s="30">
        <v>-36</v>
      </c>
      <c r="E106" s="30">
        <v>-32</v>
      </c>
      <c r="F106" s="30">
        <v>-16</v>
      </c>
      <c r="G106" s="30">
        <v>-46</v>
      </c>
      <c r="H106" s="30">
        <v>6.9</v>
      </c>
      <c r="I106" s="30">
        <v>161</v>
      </c>
      <c r="J106" s="30">
        <v>-8.1999999999999993</v>
      </c>
      <c r="K106" s="30">
        <v>232</v>
      </c>
      <c r="L106" s="30">
        <v>-4.5</v>
      </c>
      <c r="M106" s="30">
        <v>251</v>
      </c>
      <c r="N106" s="30">
        <v>-3.4</v>
      </c>
      <c r="O106" s="30">
        <v>84</v>
      </c>
      <c r="P106" s="30">
        <v>83</v>
      </c>
      <c r="Q106" s="30">
        <v>188</v>
      </c>
      <c r="R106" s="30" t="s">
        <v>150</v>
      </c>
      <c r="S106" s="30">
        <v>3.1</v>
      </c>
      <c r="T106" s="30">
        <v>3.2</v>
      </c>
      <c r="U106" s="34">
        <v>0</v>
      </c>
      <c r="Y106" s="31" t="s">
        <v>615</v>
      </c>
      <c r="Z106" s="30">
        <v>-12.8</v>
      </c>
      <c r="AA106" s="30">
        <v>-11</v>
      </c>
      <c r="AB106" s="30">
        <v>-4.0999999999999996</v>
      </c>
      <c r="AC106" s="30">
        <v>2.8</v>
      </c>
      <c r="AD106" s="30">
        <v>9.8000000000000007</v>
      </c>
      <c r="AE106" s="30">
        <v>14.7</v>
      </c>
      <c r="AF106" s="30">
        <v>17.2</v>
      </c>
      <c r="AG106" s="30">
        <v>14.4</v>
      </c>
      <c r="AH106" s="30">
        <v>8.6999999999999993</v>
      </c>
      <c r="AI106" s="30">
        <v>2.4</v>
      </c>
      <c r="AJ106" s="30">
        <v>-4.3</v>
      </c>
      <c r="AK106" s="30">
        <v>-9.6999999999999993</v>
      </c>
      <c r="AL106" s="30">
        <v>2.4</v>
      </c>
    </row>
    <row r="107" spans="1:38" ht="25.5" x14ac:dyDescent="0.25">
      <c r="A107" s="33" t="s">
        <v>614</v>
      </c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34"/>
      <c r="Y107" s="33" t="s">
        <v>614</v>
      </c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</row>
    <row r="108" spans="1:38" x14ac:dyDescent="0.25">
      <c r="A108" s="31" t="s">
        <v>784</v>
      </c>
      <c r="B108" s="30">
        <v>-31</v>
      </c>
      <c r="C108" s="30">
        <v>-29</v>
      </c>
      <c r="D108" s="30">
        <v>-25</v>
      </c>
      <c r="E108" s="30">
        <v>-24</v>
      </c>
      <c r="F108" s="30">
        <v>-13</v>
      </c>
      <c r="G108" s="30">
        <v>-37</v>
      </c>
      <c r="H108" s="30">
        <v>5.9</v>
      </c>
      <c r="I108" s="30">
        <v>130</v>
      </c>
      <c r="J108" s="30">
        <v>-5.5</v>
      </c>
      <c r="K108" s="30">
        <v>190</v>
      </c>
      <c r="L108" s="30">
        <v>-2.5</v>
      </c>
      <c r="M108" s="30">
        <v>206</v>
      </c>
      <c r="N108" s="30">
        <v>-1.6</v>
      </c>
      <c r="O108" s="30">
        <v>82</v>
      </c>
      <c r="P108" s="30">
        <v>80</v>
      </c>
      <c r="Q108" s="30">
        <v>201</v>
      </c>
      <c r="R108" s="30" t="s">
        <v>142</v>
      </c>
      <c r="S108" s="30">
        <v>4</v>
      </c>
      <c r="T108" s="30">
        <v>3.3</v>
      </c>
      <c r="U108" s="32">
        <v>0</v>
      </c>
      <c r="Y108" s="31" t="s">
        <v>613</v>
      </c>
      <c r="Z108" s="30">
        <v>-7.5</v>
      </c>
      <c r="AA108" s="30">
        <v>-7.2</v>
      </c>
      <c r="AB108" s="30">
        <v>-1.4</v>
      </c>
      <c r="AC108" s="30">
        <v>8.1999999999999993</v>
      </c>
      <c r="AD108" s="30">
        <v>14.9</v>
      </c>
      <c r="AE108" s="30">
        <v>18.399999999999999</v>
      </c>
      <c r="AF108" s="30">
        <v>20.100000000000001</v>
      </c>
      <c r="AG108" s="30">
        <v>18.899999999999999</v>
      </c>
      <c r="AH108" s="30">
        <v>13.1</v>
      </c>
      <c r="AI108" s="30">
        <v>6.5</v>
      </c>
      <c r="AJ108" s="30">
        <v>-0.1</v>
      </c>
      <c r="AK108" s="30">
        <v>-5.2</v>
      </c>
      <c r="AL108" s="30">
        <v>6.6</v>
      </c>
    </row>
    <row r="109" spans="1:38" x14ac:dyDescent="0.25">
      <c r="A109" s="33" t="s">
        <v>612</v>
      </c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34"/>
      <c r="Y109" s="33" t="s">
        <v>612</v>
      </c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</row>
    <row r="110" spans="1:38" x14ac:dyDescent="0.25">
      <c r="A110" s="31" t="s">
        <v>785</v>
      </c>
      <c r="B110" s="30">
        <v>-16</v>
      </c>
      <c r="C110" s="30">
        <v>-13</v>
      </c>
      <c r="D110" s="30">
        <v>-11</v>
      </c>
      <c r="E110" s="30">
        <v>-9</v>
      </c>
      <c r="F110" s="30">
        <v>-3</v>
      </c>
      <c r="G110" s="30">
        <v>-19</v>
      </c>
      <c r="H110" s="30">
        <v>5.2</v>
      </c>
      <c r="I110" s="30">
        <v>0</v>
      </c>
      <c r="J110" s="31"/>
      <c r="K110" s="30">
        <v>138</v>
      </c>
      <c r="L110" s="30">
        <v>3.7</v>
      </c>
      <c r="M110" s="30">
        <v>161</v>
      </c>
      <c r="N110" s="30">
        <v>4.5</v>
      </c>
      <c r="O110" s="30">
        <v>84</v>
      </c>
      <c r="P110" s="30">
        <v>82</v>
      </c>
      <c r="Q110" s="30">
        <v>179</v>
      </c>
      <c r="R110" s="30" t="s">
        <v>140</v>
      </c>
      <c r="S110" s="30">
        <v>5.2</v>
      </c>
      <c r="T110" s="30">
        <v>3.1</v>
      </c>
      <c r="U110" s="34">
        <v>0</v>
      </c>
      <c r="V110" s="29" t="s">
        <v>246</v>
      </c>
      <c r="Y110" s="31" t="s">
        <v>611</v>
      </c>
      <c r="Z110" s="30">
        <v>2.5</v>
      </c>
      <c r="AA110" s="30">
        <v>2.2000000000000002</v>
      </c>
      <c r="AB110" s="30">
        <v>5</v>
      </c>
      <c r="AC110" s="30">
        <v>10.3</v>
      </c>
      <c r="AD110" s="30">
        <v>16.3</v>
      </c>
      <c r="AE110" s="30">
        <v>21.7</v>
      </c>
      <c r="AF110" s="30">
        <v>24.9</v>
      </c>
      <c r="AG110" s="30">
        <v>24.7</v>
      </c>
      <c r="AH110" s="30">
        <v>20.3</v>
      </c>
      <c r="AI110" s="30">
        <v>14.5</v>
      </c>
      <c r="AJ110" s="30">
        <v>9.1</v>
      </c>
      <c r="AK110" s="30">
        <v>4.8</v>
      </c>
      <c r="AL110" s="30">
        <v>13</v>
      </c>
    </row>
    <row r="111" spans="1:38" x14ac:dyDescent="0.25">
      <c r="A111" s="31" t="s">
        <v>786</v>
      </c>
      <c r="B111" s="30">
        <v>-20</v>
      </c>
      <c r="C111" s="30">
        <v>-17</v>
      </c>
      <c r="D111" s="30">
        <v>-17</v>
      </c>
      <c r="E111" s="30">
        <v>-13</v>
      </c>
      <c r="F111" s="30">
        <v>-3</v>
      </c>
      <c r="G111" s="30">
        <v>-25</v>
      </c>
      <c r="H111" s="30">
        <v>5.6</v>
      </c>
      <c r="I111" s="30">
        <v>0</v>
      </c>
      <c r="J111" s="30" t="s">
        <v>41</v>
      </c>
      <c r="K111" s="30">
        <v>144</v>
      </c>
      <c r="L111" s="30">
        <v>2.7</v>
      </c>
      <c r="M111" s="30">
        <v>164</v>
      </c>
      <c r="N111" s="30">
        <v>3.5</v>
      </c>
      <c r="O111" s="30">
        <v>83</v>
      </c>
      <c r="P111" s="30">
        <v>78</v>
      </c>
      <c r="Q111" s="30">
        <v>140</v>
      </c>
      <c r="R111" s="30" t="s">
        <v>140</v>
      </c>
      <c r="S111" s="30">
        <v>5.0999999999999996</v>
      </c>
      <c r="T111" s="30">
        <v>4.2</v>
      </c>
      <c r="U111" s="34">
        <v>0</v>
      </c>
      <c r="V111" s="29" t="s">
        <v>246</v>
      </c>
      <c r="Y111" s="31" t="s">
        <v>610</v>
      </c>
      <c r="Z111" s="30">
        <v>0.6</v>
      </c>
      <c r="AA111" s="30">
        <v>0.8</v>
      </c>
      <c r="AB111" s="30">
        <v>4.4000000000000004</v>
      </c>
      <c r="AC111" s="30">
        <v>10.3</v>
      </c>
      <c r="AD111" s="30">
        <v>16.2</v>
      </c>
      <c r="AE111" s="30">
        <v>21.6</v>
      </c>
      <c r="AF111" s="30">
        <v>24.6</v>
      </c>
      <c r="AG111" s="30">
        <v>24.3</v>
      </c>
      <c r="AH111" s="30">
        <v>19.899999999999999</v>
      </c>
      <c r="AI111" s="30">
        <v>13.7</v>
      </c>
      <c r="AJ111" s="30">
        <v>7.8</v>
      </c>
      <c r="AK111" s="30">
        <v>2.9</v>
      </c>
      <c r="AL111" s="30">
        <v>12.3</v>
      </c>
    </row>
    <row r="112" spans="1:38" x14ac:dyDescent="0.25">
      <c r="A112" s="31" t="s">
        <v>609</v>
      </c>
      <c r="B112" s="30">
        <v>-24</v>
      </c>
      <c r="C112" s="30">
        <v>-23</v>
      </c>
      <c r="D112" s="30">
        <v>-21</v>
      </c>
      <c r="E112" s="30">
        <v>-19</v>
      </c>
      <c r="F112" s="30">
        <v>-10</v>
      </c>
      <c r="G112" s="30">
        <v>-35</v>
      </c>
      <c r="H112" s="30">
        <v>6.2</v>
      </c>
      <c r="I112" s="30">
        <v>77</v>
      </c>
      <c r="J112" s="30">
        <v>-2.5</v>
      </c>
      <c r="K112" s="30">
        <v>162</v>
      </c>
      <c r="L112" s="30">
        <v>0.8</v>
      </c>
      <c r="M112" s="30">
        <v>178</v>
      </c>
      <c r="N112" s="30">
        <v>1.6</v>
      </c>
      <c r="O112" s="30">
        <v>88</v>
      </c>
      <c r="P112" s="30">
        <v>85</v>
      </c>
      <c r="Q112" s="30">
        <v>99</v>
      </c>
      <c r="R112" s="30" t="s">
        <v>146</v>
      </c>
      <c r="S112" s="30" t="s">
        <v>41</v>
      </c>
      <c r="T112" s="30">
        <v>4.2</v>
      </c>
      <c r="U112" s="34">
        <v>0</v>
      </c>
      <c r="V112" s="29" t="s">
        <v>246</v>
      </c>
      <c r="Y112" s="31" t="s">
        <v>609</v>
      </c>
      <c r="Z112" s="30">
        <v>-3.6</v>
      </c>
      <c r="AA112" s="30">
        <v>-2.5</v>
      </c>
      <c r="AB112" s="30">
        <v>2.4</v>
      </c>
      <c r="AC112" s="30">
        <v>10.6</v>
      </c>
      <c r="AD112" s="30">
        <v>17.8</v>
      </c>
      <c r="AE112" s="30">
        <v>22.4</v>
      </c>
      <c r="AF112" s="30">
        <v>25.1</v>
      </c>
      <c r="AG112" s="30">
        <v>24.2</v>
      </c>
      <c r="AH112" s="30">
        <v>18.2</v>
      </c>
      <c r="AI112" s="30">
        <v>10.8</v>
      </c>
      <c r="AJ112" s="30">
        <v>4.8</v>
      </c>
      <c r="AK112" s="30">
        <v>0.5</v>
      </c>
      <c r="AL112" s="30">
        <v>10.9</v>
      </c>
    </row>
    <row r="113" spans="1:38" x14ac:dyDescent="0.25">
      <c r="A113" s="33" t="s">
        <v>608</v>
      </c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34"/>
      <c r="Y113" s="33" t="s">
        <v>608</v>
      </c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</row>
    <row r="114" spans="1:38" x14ac:dyDescent="0.25">
      <c r="A114" s="31" t="s">
        <v>607</v>
      </c>
      <c r="B114" s="30">
        <v>-38</v>
      </c>
      <c r="C114" s="30">
        <v>-34</v>
      </c>
      <c r="D114" s="30">
        <v>-34</v>
      </c>
      <c r="E114" s="30">
        <v>-30</v>
      </c>
      <c r="F114" s="30">
        <v>-17</v>
      </c>
      <c r="G114" s="30">
        <v>-45</v>
      </c>
      <c r="H114" s="30">
        <v>7.1</v>
      </c>
      <c r="I114" s="30">
        <v>152</v>
      </c>
      <c r="J114" s="30">
        <v>-7.4</v>
      </c>
      <c r="K114" s="30">
        <v>219</v>
      </c>
      <c r="L114" s="30">
        <v>-3.9</v>
      </c>
      <c r="M114" s="30">
        <v>236</v>
      </c>
      <c r="N114" s="30">
        <v>-2.9</v>
      </c>
      <c r="O114" s="30">
        <v>85</v>
      </c>
      <c r="P114" s="30">
        <v>84</v>
      </c>
      <c r="Q114" s="30">
        <v>209</v>
      </c>
      <c r="R114" s="30" t="s">
        <v>150</v>
      </c>
      <c r="S114" s="30">
        <v>4.9000000000000004</v>
      </c>
      <c r="T114" s="30">
        <v>4.2</v>
      </c>
      <c r="U114" s="34">
        <v>0</v>
      </c>
      <c r="Y114" s="31" t="s">
        <v>607</v>
      </c>
      <c r="Z114" s="30">
        <v>-11.9</v>
      </c>
      <c r="AA114" s="30">
        <v>-10.9</v>
      </c>
      <c r="AB114" s="30">
        <v>-5.0999999999999996</v>
      </c>
      <c r="AC114" s="30">
        <v>4.0999999999999996</v>
      </c>
      <c r="AD114" s="30">
        <v>11.4</v>
      </c>
      <c r="AE114" s="30">
        <v>15.8</v>
      </c>
      <c r="AF114" s="30">
        <v>17.600000000000001</v>
      </c>
      <c r="AG114" s="30">
        <v>15.8</v>
      </c>
      <c r="AH114" s="30">
        <v>10.1</v>
      </c>
      <c r="AI114" s="30">
        <v>3.5</v>
      </c>
      <c r="AJ114" s="30">
        <v>-3.1</v>
      </c>
      <c r="AK114" s="30">
        <v>-8.1</v>
      </c>
      <c r="AL114" s="30">
        <v>3.3</v>
      </c>
    </row>
    <row r="115" spans="1:38" x14ac:dyDescent="0.25">
      <c r="A115" s="31" t="s">
        <v>606</v>
      </c>
      <c r="B115" s="30">
        <v>-39</v>
      </c>
      <c r="C115" s="30">
        <v>-35</v>
      </c>
      <c r="D115" s="30">
        <v>-33</v>
      </c>
      <c r="E115" s="30">
        <v>-31</v>
      </c>
      <c r="F115" s="30">
        <v>-17</v>
      </c>
      <c r="G115" s="30">
        <v>-45</v>
      </c>
      <c r="H115" s="30">
        <v>6.4</v>
      </c>
      <c r="I115" s="30">
        <v>155</v>
      </c>
      <c r="J115" s="30">
        <v>-7.6</v>
      </c>
      <c r="K115" s="30">
        <v>221</v>
      </c>
      <c r="L115" s="30">
        <v>-4.0999999999999996</v>
      </c>
      <c r="M115" s="30">
        <v>238</v>
      </c>
      <c r="N115" s="30">
        <v>-3.2</v>
      </c>
      <c r="O115" s="30">
        <v>84</v>
      </c>
      <c r="P115" s="30">
        <v>83</v>
      </c>
      <c r="Q115" s="30">
        <v>268</v>
      </c>
      <c r="R115" s="30" t="s">
        <v>155</v>
      </c>
      <c r="S115" s="30" t="s">
        <v>41</v>
      </c>
      <c r="T115" s="30">
        <v>4.0999999999999996</v>
      </c>
      <c r="U115" s="34">
        <v>0</v>
      </c>
      <c r="Y115" s="31" t="s">
        <v>606</v>
      </c>
      <c r="Z115" s="30">
        <v>-11.7</v>
      </c>
      <c r="AA115" s="30">
        <v>-11.3</v>
      </c>
      <c r="AB115" s="30">
        <v>-5.6</v>
      </c>
      <c r="AC115" s="30">
        <v>3.4</v>
      </c>
      <c r="AD115" s="30">
        <v>11.1</v>
      </c>
      <c r="AE115" s="30">
        <v>15.9</v>
      </c>
      <c r="AF115" s="30">
        <v>18.2</v>
      </c>
      <c r="AG115" s="30">
        <v>15.9</v>
      </c>
      <c r="AH115" s="30">
        <v>10</v>
      </c>
      <c r="AI115" s="30">
        <v>3.3</v>
      </c>
      <c r="AJ115" s="30">
        <v>-3.5</v>
      </c>
      <c r="AK115" s="30">
        <v>-9.1</v>
      </c>
      <c r="AL115" s="30">
        <v>3</v>
      </c>
    </row>
    <row r="116" spans="1:38" x14ac:dyDescent="0.25">
      <c r="A116" s="33" t="s">
        <v>605</v>
      </c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34"/>
      <c r="Y116" s="33" t="s">
        <v>605</v>
      </c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</row>
    <row r="117" spans="1:38" x14ac:dyDescent="0.25">
      <c r="A117" s="31" t="s">
        <v>604</v>
      </c>
      <c r="B117" s="30">
        <v>-41</v>
      </c>
      <c r="C117" s="30">
        <v>-39</v>
      </c>
      <c r="D117" s="30">
        <v>-38</v>
      </c>
      <c r="E117" s="30">
        <v>-36</v>
      </c>
      <c r="F117" s="30">
        <v>-22</v>
      </c>
      <c r="G117" s="30">
        <v>-47</v>
      </c>
      <c r="H117" s="30">
        <v>11.3</v>
      </c>
      <c r="I117" s="30">
        <v>187</v>
      </c>
      <c r="J117" s="30">
        <v>-10.8</v>
      </c>
      <c r="K117" s="30">
        <v>264</v>
      </c>
      <c r="L117" s="30">
        <v>-6.4</v>
      </c>
      <c r="M117" s="30">
        <v>284</v>
      </c>
      <c r="N117" s="30">
        <v>-5.3</v>
      </c>
      <c r="O117" s="30">
        <v>64</v>
      </c>
      <c r="P117" s="30">
        <v>59</v>
      </c>
      <c r="Q117" s="30">
        <v>63</v>
      </c>
      <c r="R117" s="30" t="s">
        <v>150</v>
      </c>
      <c r="S117" s="30">
        <v>3.8</v>
      </c>
      <c r="T117" s="30" t="s">
        <v>41</v>
      </c>
      <c r="U117" s="34">
        <v>3</v>
      </c>
      <c r="V117" s="35">
        <v>5</v>
      </c>
      <c r="Y117" s="31" t="s">
        <v>604</v>
      </c>
      <c r="Z117" s="30">
        <v>-16.7</v>
      </c>
      <c r="AA117" s="30">
        <v>-14.6</v>
      </c>
      <c r="AB117" s="30">
        <v>-7.8</v>
      </c>
      <c r="AC117" s="30">
        <v>-0.2</v>
      </c>
      <c r="AD117" s="30">
        <v>6.2</v>
      </c>
      <c r="AE117" s="30">
        <v>12.2</v>
      </c>
      <c r="AF117" s="30">
        <v>13.8</v>
      </c>
      <c r="AG117" s="30">
        <v>12</v>
      </c>
      <c r="AH117" s="30">
        <v>6.4</v>
      </c>
      <c r="AI117" s="30">
        <v>0.1</v>
      </c>
      <c r="AJ117" s="30">
        <v>-8.9</v>
      </c>
      <c r="AK117" s="30">
        <v>-15.1</v>
      </c>
      <c r="AL117" s="30">
        <v>-1.1000000000000001</v>
      </c>
    </row>
    <row r="118" spans="1:38" x14ac:dyDescent="0.25">
      <c r="A118" s="31" t="s">
        <v>787</v>
      </c>
      <c r="B118" s="30">
        <v>-51</v>
      </c>
      <c r="C118" s="30">
        <v>-49</v>
      </c>
      <c r="D118" s="30">
        <v>-49</v>
      </c>
      <c r="E118" s="30">
        <v>-46</v>
      </c>
      <c r="F118" s="30">
        <v>-34</v>
      </c>
      <c r="G118" s="30">
        <v>-55</v>
      </c>
      <c r="H118" s="30">
        <v>7.4</v>
      </c>
      <c r="I118" s="30">
        <v>198</v>
      </c>
      <c r="J118" s="30">
        <v>-19.100000000000001</v>
      </c>
      <c r="K118" s="30">
        <v>253</v>
      </c>
      <c r="L118" s="30">
        <v>-14.1</v>
      </c>
      <c r="M118" s="30">
        <v>267</v>
      </c>
      <c r="N118" s="30">
        <v>-12.9</v>
      </c>
      <c r="O118" s="30">
        <v>78</v>
      </c>
      <c r="P118" s="30">
        <v>77</v>
      </c>
      <c r="Q118" s="30">
        <v>102</v>
      </c>
      <c r="R118" s="30" t="s">
        <v>138</v>
      </c>
      <c r="S118" s="30">
        <v>2.2999999999999998</v>
      </c>
      <c r="T118" s="30">
        <v>1.2</v>
      </c>
      <c r="U118" s="34">
        <v>3</v>
      </c>
      <c r="V118" s="35">
        <v>5</v>
      </c>
      <c r="Y118" s="31" t="s">
        <v>603</v>
      </c>
      <c r="Z118" s="30">
        <v>-30.1</v>
      </c>
      <c r="AA118" s="30">
        <v>-25.5</v>
      </c>
      <c r="AB118" s="30">
        <v>-13.8</v>
      </c>
      <c r="AC118" s="30">
        <v>-1.9</v>
      </c>
      <c r="AD118" s="30">
        <v>6.7</v>
      </c>
      <c r="AE118" s="30">
        <v>14.7</v>
      </c>
      <c r="AF118" s="30">
        <v>18.2</v>
      </c>
      <c r="AG118" s="30">
        <v>14.9</v>
      </c>
      <c r="AH118" s="30">
        <v>6.7</v>
      </c>
      <c r="AI118" s="30">
        <v>-3.4</v>
      </c>
      <c r="AJ118" s="30">
        <v>-17.600000000000001</v>
      </c>
      <c r="AK118" s="30">
        <v>-27.6</v>
      </c>
      <c r="AL118" s="30">
        <v>-4.9000000000000004</v>
      </c>
    </row>
    <row r="119" spans="1:38" x14ac:dyDescent="0.25">
      <c r="A119" s="31" t="s">
        <v>602</v>
      </c>
      <c r="B119" s="30">
        <v>-47</v>
      </c>
      <c r="C119" s="30">
        <v>-46</v>
      </c>
      <c r="D119" s="30">
        <v>-46</v>
      </c>
      <c r="E119" s="30">
        <v>-43</v>
      </c>
      <c r="F119" s="30">
        <v>-26</v>
      </c>
      <c r="G119" s="30">
        <v>-44</v>
      </c>
      <c r="H119" s="30">
        <v>8.1999999999999993</v>
      </c>
      <c r="I119" s="30">
        <v>188</v>
      </c>
      <c r="J119" s="30">
        <v>-12.7</v>
      </c>
      <c r="K119" s="30">
        <v>249</v>
      </c>
      <c r="L119" s="30">
        <v>-8.6</v>
      </c>
      <c r="M119" s="30">
        <v>266</v>
      </c>
      <c r="N119" s="30">
        <v>-7.5</v>
      </c>
      <c r="O119" s="30">
        <v>81</v>
      </c>
      <c r="P119" s="30">
        <v>78</v>
      </c>
      <c r="Q119" s="30">
        <v>95</v>
      </c>
      <c r="R119" s="30" t="s">
        <v>185</v>
      </c>
      <c r="S119" s="30">
        <v>3.4</v>
      </c>
      <c r="T119" s="30">
        <v>2.1</v>
      </c>
      <c r="U119" s="34">
        <v>3</v>
      </c>
      <c r="V119" s="35">
        <v>5</v>
      </c>
      <c r="Y119" s="31" t="s">
        <v>602</v>
      </c>
      <c r="Z119" s="30">
        <v>-20.7</v>
      </c>
      <c r="AA119" s="30">
        <v>-19.399999999999999</v>
      </c>
      <c r="AB119" s="30">
        <v>-10.199999999999999</v>
      </c>
      <c r="AC119" s="30">
        <v>-1.2</v>
      </c>
      <c r="AD119" s="30">
        <v>6.2</v>
      </c>
      <c r="AE119" s="30">
        <v>14</v>
      </c>
      <c r="AF119" s="30">
        <v>17.8</v>
      </c>
      <c r="AG119" s="30">
        <v>14.8</v>
      </c>
      <c r="AH119" s="30">
        <v>8.1</v>
      </c>
      <c r="AI119" s="30">
        <v>-0.5</v>
      </c>
      <c r="AJ119" s="30">
        <v>-9.8000000000000007</v>
      </c>
      <c r="AK119" s="30">
        <v>-18.399999999999999</v>
      </c>
      <c r="AL119" s="30">
        <v>-1.6</v>
      </c>
    </row>
    <row r="120" spans="1:38" x14ac:dyDescent="0.25">
      <c r="A120" s="31" t="s">
        <v>788</v>
      </c>
      <c r="B120" s="30">
        <v>-41</v>
      </c>
      <c r="C120" s="30">
        <v>-39</v>
      </c>
      <c r="D120" s="30">
        <v>-37</v>
      </c>
      <c r="E120" s="30">
        <v>-35</v>
      </c>
      <c r="F120" s="30">
        <v>-23</v>
      </c>
      <c r="G120" s="30">
        <v>-47</v>
      </c>
      <c r="H120" s="30">
        <v>13.3</v>
      </c>
      <c r="I120" s="30">
        <v>197</v>
      </c>
      <c r="J120" s="30">
        <v>-11.9</v>
      </c>
      <c r="K120" s="30">
        <v>267</v>
      </c>
      <c r="L120" s="30">
        <v>-7.7</v>
      </c>
      <c r="M120" s="30">
        <v>285</v>
      </c>
      <c r="N120" s="30">
        <v>-6.7</v>
      </c>
      <c r="O120" s="30">
        <v>75</v>
      </c>
      <c r="P120" s="30">
        <v>65</v>
      </c>
      <c r="Q120" s="30">
        <v>32</v>
      </c>
      <c r="R120" s="30" t="s">
        <v>150</v>
      </c>
      <c r="S120" s="30">
        <v>2.1</v>
      </c>
      <c r="T120" s="30">
        <v>0.9</v>
      </c>
      <c r="U120" s="34">
        <v>3</v>
      </c>
      <c r="V120" s="35">
        <v>5</v>
      </c>
      <c r="Y120" s="31" t="s">
        <v>601</v>
      </c>
      <c r="Z120" s="30">
        <v>-19</v>
      </c>
      <c r="AA120" s="30">
        <v>-16.3</v>
      </c>
      <c r="AB120" s="30">
        <v>-9.6999999999999993</v>
      </c>
      <c r="AC120" s="30">
        <v>-1.4</v>
      </c>
      <c r="AD120" s="30">
        <v>5.7</v>
      </c>
      <c r="AE120" s="30">
        <v>11.7</v>
      </c>
      <c r="AF120" s="30">
        <v>14.1</v>
      </c>
      <c r="AG120" s="30">
        <v>11.4</v>
      </c>
      <c r="AH120" s="30">
        <v>5.2</v>
      </c>
      <c r="AI120" s="30">
        <v>-1.8</v>
      </c>
      <c r="AJ120" s="30">
        <v>-10</v>
      </c>
      <c r="AK120" s="30">
        <v>-16.8</v>
      </c>
      <c r="AL120" s="30">
        <v>-2.2000000000000002</v>
      </c>
    </row>
    <row r="121" spans="1:38" x14ac:dyDescent="0.25">
      <c r="A121" s="31" t="s">
        <v>600</v>
      </c>
      <c r="B121" s="30">
        <v>-53</v>
      </c>
      <c r="C121" s="30">
        <v>-52</v>
      </c>
      <c r="D121" s="30">
        <v>-52</v>
      </c>
      <c r="E121" s="30">
        <v>-50</v>
      </c>
      <c r="F121" s="30">
        <v>-34</v>
      </c>
      <c r="G121" s="30">
        <v>-55</v>
      </c>
      <c r="H121" s="30">
        <v>9.1999999999999993</v>
      </c>
      <c r="I121" s="30">
        <v>200</v>
      </c>
      <c r="J121" s="30">
        <v>-16.899999999999999</v>
      </c>
      <c r="K121" s="30">
        <v>257</v>
      </c>
      <c r="L121" s="30">
        <v>-12.3</v>
      </c>
      <c r="M121" s="30">
        <v>272</v>
      </c>
      <c r="N121" s="30">
        <v>-11.1</v>
      </c>
      <c r="O121" s="30">
        <v>78</v>
      </c>
      <c r="P121" s="30">
        <v>76</v>
      </c>
      <c r="Q121" s="30">
        <v>143</v>
      </c>
      <c r="R121" s="30" t="s">
        <v>41</v>
      </c>
      <c r="S121" s="30" t="s">
        <v>41</v>
      </c>
      <c r="T121" s="30" t="s">
        <v>41</v>
      </c>
      <c r="U121" s="34">
        <v>3</v>
      </c>
      <c r="V121" s="35">
        <v>5</v>
      </c>
      <c r="Y121" s="31" t="s">
        <v>600</v>
      </c>
      <c r="Z121" s="30">
        <v>-28.6</v>
      </c>
      <c r="AA121" s="30">
        <v>-23.2</v>
      </c>
      <c r="AB121" s="30">
        <v>-13.6</v>
      </c>
      <c r="AC121" s="30">
        <v>-2.9</v>
      </c>
      <c r="AD121" s="30">
        <v>5.7</v>
      </c>
      <c r="AE121" s="30">
        <v>14.3</v>
      </c>
      <c r="AF121" s="30">
        <v>17.7</v>
      </c>
      <c r="AG121" s="30">
        <v>14</v>
      </c>
      <c r="AH121" s="30">
        <v>6.4</v>
      </c>
      <c r="AI121" s="30">
        <v>-2.2999999999999998</v>
      </c>
      <c r="AJ121" s="30">
        <v>-17.399999999999999</v>
      </c>
      <c r="AK121" s="30">
        <v>-25.8</v>
      </c>
      <c r="AL121" s="30">
        <v>-4.5999999999999996</v>
      </c>
    </row>
    <row r="122" spans="1:38" x14ac:dyDescent="0.25">
      <c r="A122" s="31" t="s">
        <v>789</v>
      </c>
      <c r="B122" s="30">
        <v>-56</v>
      </c>
      <c r="C122" s="30">
        <v>-54</v>
      </c>
      <c r="D122" s="30">
        <v>-53</v>
      </c>
      <c r="E122" s="30">
        <v>-51</v>
      </c>
      <c r="F122" s="30">
        <v>-34</v>
      </c>
      <c r="G122" s="30">
        <v>-61</v>
      </c>
      <c r="H122" s="30">
        <v>10.8</v>
      </c>
      <c r="I122" s="30">
        <v>211</v>
      </c>
      <c r="J122" s="30">
        <v>-19.899999999999999</v>
      </c>
      <c r="K122" s="30">
        <v>261</v>
      </c>
      <c r="L122" s="30">
        <v>-15.3</v>
      </c>
      <c r="M122" s="30">
        <v>274</v>
      </c>
      <c r="N122" s="30">
        <v>-14.2</v>
      </c>
      <c r="O122" s="30">
        <v>76</v>
      </c>
      <c r="P122" s="30">
        <v>76</v>
      </c>
      <c r="Q122" s="30">
        <v>81</v>
      </c>
      <c r="R122" s="30" t="s">
        <v>150</v>
      </c>
      <c r="S122" s="30">
        <v>2</v>
      </c>
      <c r="T122" s="30">
        <v>1.5</v>
      </c>
      <c r="U122" s="34">
        <v>3</v>
      </c>
      <c r="V122" s="35">
        <v>5</v>
      </c>
      <c r="Y122" s="31" t="s">
        <v>599</v>
      </c>
      <c r="Z122" s="30">
        <v>-30.9</v>
      </c>
      <c r="AA122" s="30">
        <v>-27.7</v>
      </c>
      <c r="AB122" s="30">
        <v>-16.399999999999999</v>
      </c>
      <c r="AC122" s="30">
        <v>-5</v>
      </c>
      <c r="AD122" s="30">
        <v>5.3</v>
      </c>
      <c r="AE122" s="30">
        <v>14.1</v>
      </c>
      <c r="AF122" s="30">
        <v>17.399999999999999</v>
      </c>
      <c r="AG122" s="30">
        <v>13.4</v>
      </c>
      <c r="AH122" s="30">
        <v>5.2</v>
      </c>
      <c r="AI122" s="30">
        <v>-5.6</v>
      </c>
      <c r="AJ122" s="30">
        <v>-20.6</v>
      </c>
      <c r="AK122" s="30">
        <v>-29</v>
      </c>
      <c r="AL122" s="30">
        <v>-6.6</v>
      </c>
    </row>
    <row r="123" spans="1:38" x14ac:dyDescent="0.25">
      <c r="A123" s="31" t="s">
        <v>790</v>
      </c>
      <c r="B123" s="30">
        <v>-50</v>
      </c>
      <c r="C123" s="30">
        <v>-48</v>
      </c>
      <c r="D123" s="30">
        <v>-46</v>
      </c>
      <c r="E123" s="30">
        <v>-44</v>
      </c>
      <c r="F123" s="30">
        <v>-31</v>
      </c>
      <c r="G123" s="30">
        <v>-54</v>
      </c>
      <c r="H123" s="30">
        <v>10.7</v>
      </c>
      <c r="I123" s="30">
        <v>190</v>
      </c>
      <c r="J123" s="30">
        <v>-17.399999999999999</v>
      </c>
      <c r="K123" s="30">
        <v>249</v>
      </c>
      <c r="L123" s="30">
        <v>-12.3</v>
      </c>
      <c r="M123" s="30">
        <v>265</v>
      </c>
      <c r="N123" s="30">
        <v>-11</v>
      </c>
      <c r="O123" s="30">
        <v>81</v>
      </c>
      <c r="P123" s="30">
        <v>79</v>
      </c>
      <c r="Q123" s="30">
        <v>56</v>
      </c>
      <c r="R123" s="30" t="s">
        <v>142</v>
      </c>
      <c r="S123" s="30">
        <v>2.4</v>
      </c>
      <c r="T123" s="30">
        <v>0.9</v>
      </c>
      <c r="U123" s="34">
        <v>3</v>
      </c>
      <c r="V123" s="35">
        <v>5</v>
      </c>
      <c r="Y123" s="31" t="s">
        <v>598</v>
      </c>
      <c r="Z123" s="30">
        <v>-27.7</v>
      </c>
      <c r="AA123" s="30">
        <v>-23</v>
      </c>
      <c r="AB123" s="30">
        <v>-12.2</v>
      </c>
      <c r="AC123" s="30">
        <v>-0.5</v>
      </c>
      <c r="AD123" s="30">
        <v>8</v>
      </c>
      <c r="AE123" s="30">
        <v>14.7</v>
      </c>
      <c r="AF123" s="30">
        <v>17.600000000000001</v>
      </c>
      <c r="AG123" s="30">
        <v>14.4</v>
      </c>
      <c r="AH123" s="30">
        <v>6.7</v>
      </c>
      <c r="AI123" s="30">
        <v>-2.2000000000000002</v>
      </c>
      <c r="AJ123" s="30">
        <v>-14.3</v>
      </c>
      <c r="AK123" s="30">
        <v>-24.6</v>
      </c>
      <c r="AL123" s="30">
        <v>-3.6</v>
      </c>
    </row>
    <row r="124" spans="1:38" x14ac:dyDescent="0.25">
      <c r="A124" s="31" t="s">
        <v>597</v>
      </c>
      <c r="B124" s="30">
        <v>-47</v>
      </c>
      <c r="C124" s="30">
        <v>-45</v>
      </c>
      <c r="D124" s="30">
        <v>-43</v>
      </c>
      <c r="E124" s="30">
        <v>-42</v>
      </c>
      <c r="F124" s="30">
        <v>-28</v>
      </c>
      <c r="G124" s="30">
        <v>-50</v>
      </c>
      <c r="H124" s="30">
        <v>11.8</v>
      </c>
      <c r="I124" s="30">
        <v>179</v>
      </c>
      <c r="J124" s="30">
        <v>-14.4</v>
      </c>
      <c r="K124" s="30">
        <v>239</v>
      </c>
      <c r="L124" s="30">
        <v>-9.6999999999999993</v>
      </c>
      <c r="M124" s="30">
        <v>257</v>
      </c>
      <c r="N124" s="30">
        <v>-8.5</v>
      </c>
      <c r="O124" s="30">
        <v>80</v>
      </c>
      <c r="P124" s="30">
        <v>76</v>
      </c>
      <c r="Q124" s="30">
        <v>92</v>
      </c>
      <c r="R124" s="30" t="s">
        <v>140</v>
      </c>
      <c r="S124" s="30">
        <v>4.9000000000000004</v>
      </c>
      <c r="T124" s="30">
        <v>2.1</v>
      </c>
      <c r="U124" s="34">
        <v>3</v>
      </c>
      <c r="V124" s="35">
        <v>5</v>
      </c>
      <c r="Y124" s="31" t="s">
        <v>597</v>
      </c>
      <c r="Z124" s="30">
        <v>-23</v>
      </c>
      <c r="AA124" s="30">
        <v>-20</v>
      </c>
      <c r="AB124" s="30">
        <v>-10.1</v>
      </c>
      <c r="AC124" s="30">
        <v>1.1000000000000001</v>
      </c>
      <c r="AD124" s="30">
        <v>8.6999999999999993</v>
      </c>
      <c r="AE124" s="30">
        <v>15.8</v>
      </c>
      <c r="AF124" s="30">
        <v>18</v>
      </c>
      <c r="AG124" s="30">
        <v>14.9</v>
      </c>
      <c r="AH124" s="30">
        <v>8.1</v>
      </c>
      <c r="AI124" s="30">
        <v>-0.1</v>
      </c>
      <c r="AJ124" s="30">
        <v>-12.2</v>
      </c>
      <c r="AK124" s="30">
        <v>-20.5</v>
      </c>
      <c r="AL124" s="30">
        <v>-1.6</v>
      </c>
    </row>
    <row r="125" spans="1:38" x14ac:dyDescent="0.25">
      <c r="A125" s="31" t="s">
        <v>791</v>
      </c>
      <c r="B125" s="30">
        <v>-55</v>
      </c>
      <c r="C125" s="30">
        <v>-53</v>
      </c>
      <c r="D125" s="30">
        <v>-51</v>
      </c>
      <c r="E125" s="30">
        <v>-50</v>
      </c>
      <c r="F125" s="30">
        <v>-32</v>
      </c>
      <c r="G125" s="30">
        <v>-60</v>
      </c>
      <c r="H125" s="30">
        <v>13</v>
      </c>
      <c r="I125" s="30">
        <v>208</v>
      </c>
      <c r="J125" s="30">
        <v>-18.600000000000001</v>
      </c>
      <c r="K125" s="30">
        <v>263</v>
      </c>
      <c r="L125" s="30">
        <v>-13.8</v>
      </c>
      <c r="M125" s="30">
        <v>277</v>
      </c>
      <c r="N125" s="30">
        <v>-12.7</v>
      </c>
      <c r="O125" s="30">
        <v>75</v>
      </c>
      <c r="P125" s="30">
        <v>74</v>
      </c>
      <c r="Q125" s="30">
        <v>44</v>
      </c>
      <c r="R125" s="30" t="s">
        <v>150</v>
      </c>
      <c r="S125" s="30">
        <v>2.7</v>
      </c>
      <c r="T125" s="30">
        <v>1.5</v>
      </c>
      <c r="U125" s="34">
        <v>3</v>
      </c>
      <c r="V125" s="35">
        <v>5</v>
      </c>
      <c r="Y125" s="31" t="s">
        <v>596</v>
      </c>
      <c r="Z125" s="30">
        <v>-29.2</v>
      </c>
      <c r="AA125" s="30">
        <v>-25.9</v>
      </c>
      <c r="AB125" s="30">
        <v>-15.4</v>
      </c>
      <c r="AC125" s="30">
        <v>-4.2</v>
      </c>
      <c r="AD125" s="30">
        <v>5.5</v>
      </c>
      <c r="AE125" s="30">
        <v>13.6</v>
      </c>
      <c r="AF125" s="30">
        <v>16.5</v>
      </c>
      <c r="AG125" s="30">
        <v>12.8</v>
      </c>
      <c r="AH125" s="30">
        <v>5</v>
      </c>
      <c r="AI125" s="30">
        <v>-4.4000000000000004</v>
      </c>
      <c r="AJ125" s="30">
        <v>-18</v>
      </c>
      <c r="AK125" s="30">
        <v>-26.9</v>
      </c>
      <c r="AL125" s="30">
        <v>-5.9</v>
      </c>
    </row>
    <row r="126" spans="1:38" x14ac:dyDescent="0.25">
      <c r="A126" s="31" t="s">
        <v>595</v>
      </c>
      <c r="B126" s="30">
        <v>-50</v>
      </c>
      <c r="C126" s="30">
        <v>-49</v>
      </c>
      <c r="D126" s="30">
        <v>-48</v>
      </c>
      <c r="E126" s="30">
        <v>-45</v>
      </c>
      <c r="F126" s="30">
        <v>-30</v>
      </c>
      <c r="G126" s="30">
        <v>-59</v>
      </c>
      <c r="H126" s="30">
        <v>11.8</v>
      </c>
      <c r="I126" s="30">
        <v>195</v>
      </c>
      <c r="J126" s="30">
        <v>-15.6</v>
      </c>
      <c r="K126" s="30">
        <v>255</v>
      </c>
      <c r="L126" s="30">
        <v>-11</v>
      </c>
      <c r="M126" s="30">
        <v>270</v>
      </c>
      <c r="N126" s="30">
        <v>-9.8000000000000007</v>
      </c>
      <c r="O126" s="30">
        <v>79</v>
      </c>
      <c r="P126" s="30">
        <v>76</v>
      </c>
      <c r="Q126" s="30">
        <v>109</v>
      </c>
      <c r="R126" s="30" t="s">
        <v>146</v>
      </c>
      <c r="S126" s="30" t="s">
        <v>41</v>
      </c>
      <c r="T126" s="30">
        <v>1.8</v>
      </c>
      <c r="U126" s="34">
        <v>3</v>
      </c>
      <c r="V126" s="35">
        <v>5</v>
      </c>
      <c r="Y126" s="31" t="s">
        <v>595</v>
      </c>
      <c r="Z126" s="30">
        <v>-25.4</v>
      </c>
      <c r="AA126" s="30">
        <v>-22</v>
      </c>
      <c r="AB126" s="30">
        <v>-12.6</v>
      </c>
      <c r="AC126" s="30">
        <v>-1.6</v>
      </c>
      <c r="AD126" s="30">
        <v>6.3</v>
      </c>
      <c r="AE126" s="30">
        <v>14.2</v>
      </c>
      <c r="AF126" s="30">
        <v>17.600000000000001</v>
      </c>
      <c r="AG126" s="30">
        <v>14.2</v>
      </c>
      <c r="AH126" s="30">
        <v>6.6</v>
      </c>
      <c r="AI126" s="30">
        <v>-2</v>
      </c>
      <c r="AJ126" s="30">
        <v>-14.8</v>
      </c>
      <c r="AK126" s="30">
        <v>-23.8</v>
      </c>
      <c r="AL126" s="30">
        <v>-3.6</v>
      </c>
    </row>
    <row r="127" spans="1:38" x14ac:dyDescent="0.25">
      <c r="A127" s="31" t="s">
        <v>792</v>
      </c>
      <c r="B127" s="30">
        <v>-39</v>
      </c>
      <c r="C127" s="30">
        <v>-37</v>
      </c>
      <c r="D127" s="30">
        <v>-38</v>
      </c>
      <c r="E127" s="30">
        <v>-33</v>
      </c>
      <c r="F127" s="30">
        <v>-24</v>
      </c>
      <c r="G127" s="30">
        <v>-50</v>
      </c>
      <c r="H127" s="30">
        <v>9.1999999999999993</v>
      </c>
      <c r="I127" s="30">
        <v>170</v>
      </c>
      <c r="J127" s="30">
        <v>-12</v>
      </c>
      <c r="K127" s="30">
        <v>232</v>
      </c>
      <c r="L127" s="30">
        <v>-7.7</v>
      </c>
      <c r="M127" s="30">
        <v>249</v>
      </c>
      <c r="N127" s="30">
        <v>-6.6</v>
      </c>
      <c r="O127" s="30">
        <v>81</v>
      </c>
      <c r="P127" s="30">
        <v>77</v>
      </c>
      <c r="Q127" s="30">
        <v>70</v>
      </c>
      <c r="R127" s="30" t="s">
        <v>185</v>
      </c>
      <c r="S127" s="30">
        <v>3</v>
      </c>
      <c r="T127" s="30">
        <v>2.2000000000000002</v>
      </c>
      <c r="U127" s="34">
        <v>3</v>
      </c>
      <c r="V127" s="35">
        <v>5</v>
      </c>
      <c r="Y127" s="31" t="s">
        <v>594</v>
      </c>
      <c r="Z127" s="30">
        <v>-18.5</v>
      </c>
      <c r="AA127" s="30">
        <v>-15.5</v>
      </c>
      <c r="AB127" s="30">
        <v>-7</v>
      </c>
      <c r="AC127" s="30">
        <v>2.1</v>
      </c>
      <c r="AD127" s="30">
        <v>9.8000000000000007</v>
      </c>
      <c r="AE127" s="30">
        <v>15.5</v>
      </c>
      <c r="AF127" s="30">
        <v>18.100000000000001</v>
      </c>
      <c r="AG127" s="30">
        <v>15.5</v>
      </c>
      <c r="AH127" s="30">
        <v>9</v>
      </c>
      <c r="AI127" s="30">
        <v>1.5</v>
      </c>
      <c r="AJ127" s="30">
        <v>-7.9</v>
      </c>
      <c r="AK127" s="30">
        <v>-15.9</v>
      </c>
      <c r="AL127" s="30">
        <v>0.5</v>
      </c>
    </row>
    <row r="128" spans="1:38" x14ac:dyDescent="0.25">
      <c r="A128" s="31" t="s">
        <v>593</v>
      </c>
      <c r="B128" s="30">
        <v>-56</v>
      </c>
      <c r="C128" s="30">
        <v>-54</v>
      </c>
      <c r="D128" s="30">
        <v>-53</v>
      </c>
      <c r="E128" s="30">
        <v>-50</v>
      </c>
      <c r="F128" s="30">
        <v>-33</v>
      </c>
      <c r="G128" s="30">
        <v>-60</v>
      </c>
      <c r="H128" s="30">
        <v>11.9</v>
      </c>
      <c r="I128" s="30">
        <v>200</v>
      </c>
      <c r="J128" s="30">
        <v>-17.5</v>
      </c>
      <c r="K128" s="30">
        <v>254</v>
      </c>
      <c r="L128" s="30">
        <v>-12.9</v>
      </c>
      <c r="M128" s="30">
        <v>270</v>
      </c>
      <c r="N128" s="30">
        <v>-11.6</v>
      </c>
      <c r="O128" s="30">
        <v>78</v>
      </c>
      <c r="P128" s="30">
        <v>76</v>
      </c>
      <c r="Q128" s="30">
        <v>131</v>
      </c>
      <c r="R128" s="30" t="s">
        <v>150</v>
      </c>
      <c r="S128" s="30" t="s">
        <v>41</v>
      </c>
      <c r="T128" s="30">
        <v>1.6</v>
      </c>
      <c r="U128" s="34">
        <v>3</v>
      </c>
      <c r="V128" s="35">
        <v>5</v>
      </c>
      <c r="Y128" s="31" t="s">
        <v>593</v>
      </c>
      <c r="Z128" s="30">
        <v>-28.2</v>
      </c>
      <c r="AA128" s="30">
        <v>-25.4</v>
      </c>
      <c r="AB128" s="30">
        <v>-14.6</v>
      </c>
      <c r="AC128" s="30">
        <v>-2.7</v>
      </c>
      <c r="AD128" s="30">
        <v>6.4</v>
      </c>
      <c r="AE128" s="30">
        <v>14.6</v>
      </c>
      <c r="AF128" s="30">
        <v>17.600000000000001</v>
      </c>
      <c r="AG128" s="30">
        <v>14</v>
      </c>
      <c r="AH128" s="30">
        <v>6.6</v>
      </c>
      <c r="AI128" s="30">
        <v>-3</v>
      </c>
      <c r="AJ128" s="30">
        <v>-17.600000000000001</v>
      </c>
      <c r="AK128" s="30">
        <v>-26.7</v>
      </c>
      <c r="AL128" s="30">
        <v>-4.9000000000000004</v>
      </c>
    </row>
    <row r="129" spans="1:38" x14ac:dyDescent="0.25">
      <c r="A129" s="31" t="s">
        <v>793</v>
      </c>
      <c r="B129" s="30">
        <v>-54</v>
      </c>
      <c r="C129" s="30">
        <v>-51</v>
      </c>
      <c r="D129" s="30">
        <v>-50</v>
      </c>
      <c r="E129" s="30">
        <v>-49</v>
      </c>
      <c r="F129" s="30">
        <v>-30</v>
      </c>
      <c r="G129" s="30">
        <v>-58</v>
      </c>
      <c r="H129" s="30">
        <v>11.5</v>
      </c>
      <c r="I129" s="30">
        <v>196</v>
      </c>
      <c r="J129" s="30">
        <v>-17.5</v>
      </c>
      <c r="K129" s="30">
        <v>251</v>
      </c>
      <c r="L129" s="30">
        <v>-12.8</v>
      </c>
      <c r="M129" s="30">
        <v>264</v>
      </c>
      <c r="N129" s="30">
        <v>-11.7</v>
      </c>
      <c r="O129" s="30">
        <v>77</v>
      </c>
      <c r="P129" s="30">
        <v>77</v>
      </c>
      <c r="Q129" s="30">
        <v>95</v>
      </c>
      <c r="R129" s="30" t="s">
        <v>155</v>
      </c>
      <c r="S129" s="30">
        <v>3.6</v>
      </c>
      <c r="T129" s="30">
        <v>1.8</v>
      </c>
      <c r="U129" s="34">
        <v>3</v>
      </c>
      <c r="V129" s="35">
        <v>5</v>
      </c>
      <c r="Y129" s="31" t="s">
        <v>592</v>
      </c>
      <c r="Z129" s="30">
        <v>-27.2</v>
      </c>
      <c r="AA129" s="30">
        <v>-24</v>
      </c>
      <c r="AB129" s="30">
        <v>-13.3</v>
      </c>
      <c r="AC129" s="30">
        <v>-1.8</v>
      </c>
      <c r="AD129" s="30">
        <v>7.3</v>
      </c>
      <c r="AE129" s="30">
        <v>15.2</v>
      </c>
      <c r="AF129" s="30">
        <v>18.100000000000001</v>
      </c>
      <c r="AG129" s="30">
        <v>14.8</v>
      </c>
      <c r="AH129" s="30">
        <v>6.8</v>
      </c>
      <c r="AI129" s="30">
        <v>-2.6</v>
      </c>
      <c r="AJ129" s="30">
        <v>-15.5</v>
      </c>
      <c r="AK129" s="30">
        <v>-24.9</v>
      </c>
      <c r="AL129" s="30">
        <v>-3.9</v>
      </c>
    </row>
    <row r="130" spans="1:38" x14ac:dyDescent="0.25">
      <c r="A130" s="31" t="s">
        <v>591</v>
      </c>
      <c r="B130" s="30">
        <v>-50</v>
      </c>
      <c r="C130" s="30">
        <v>-49</v>
      </c>
      <c r="D130" s="30">
        <v>-48</v>
      </c>
      <c r="E130" s="30">
        <v>-46</v>
      </c>
      <c r="F130" s="30">
        <v>-34</v>
      </c>
      <c r="G130" s="30">
        <v>-56</v>
      </c>
      <c r="H130" s="30">
        <v>7.4</v>
      </c>
      <c r="I130" s="30">
        <v>198</v>
      </c>
      <c r="J130" s="30">
        <v>-17.3</v>
      </c>
      <c r="K130" s="30">
        <v>255</v>
      </c>
      <c r="L130" s="30">
        <v>-12.6</v>
      </c>
      <c r="M130" s="30">
        <v>271</v>
      </c>
      <c r="N130" s="30">
        <v>-11.3</v>
      </c>
      <c r="O130" s="30">
        <v>77</v>
      </c>
      <c r="P130" s="30">
        <v>76</v>
      </c>
      <c r="Q130" s="30">
        <v>179</v>
      </c>
      <c r="R130" s="30" t="s">
        <v>185</v>
      </c>
      <c r="S130" s="30" t="s">
        <v>41</v>
      </c>
      <c r="T130" s="30">
        <v>2.7</v>
      </c>
      <c r="U130" s="34">
        <v>3</v>
      </c>
      <c r="V130" s="35">
        <v>5</v>
      </c>
      <c r="Y130" s="31" t="s">
        <v>591</v>
      </c>
      <c r="Z130" s="30">
        <v>-28.9</v>
      </c>
      <c r="AA130" s="30">
        <v>-23.9</v>
      </c>
      <c r="AB130" s="30">
        <v>-14.3</v>
      </c>
      <c r="AC130" s="30">
        <v>-2.8</v>
      </c>
      <c r="AD130" s="30">
        <v>5.9</v>
      </c>
      <c r="AE130" s="30">
        <v>14.1</v>
      </c>
      <c r="AF130" s="30">
        <v>17.899999999999999</v>
      </c>
      <c r="AG130" s="30">
        <v>14.4</v>
      </c>
      <c r="AH130" s="30">
        <v>6.8</v>
      </c>
      <c r="AI130" s="30">
        <v>-2.1</v>
      </c>
      <c r="AJ130" s="30">
        <v>-17.399999999999999</v>
      </c>
      <c r="AK130" s="30">
        <v>-26.1</v>
      </c>
      <c r="AL130" s="30">
        <v>-4.7</v>
      </c>
    </row>
    <row r="131" spans="1:38" x14ac:dyDescent="0.25">
      <c r="A131" s="31" t="s">
        <v>590</v>
      </c>
      <c r="B131" s="30">
        <v>-53</v>
      </c>
      <c r="C131" s="30">
        <v>-51</v>
      </c>
      <c r="D131" s="30">
        <v>-51</v>
      </c>
      <c r="E131" s="30">
        <v>-49</v>
      </c>
      <c r="F131" s="30">
        <v>-33</v>
      </c>
      <c r="G131" s="30">
        <v>-55</v>
      </c>
      <c r="H131" s="30">
        <v>11.1</v>
      </c>
      <c r="I131" s="30">
        <v>194</v>
      </c>
      <c r="J131" s="30">
        <v>-16.899999999999999</v>
      </c>
      <c r="K131" s="30">
        <v>250</v>
      </c>
      <c r="L131" s="30">
        <v>-12.3</v>
      </c>
      <c r="M131" s="30">
        <v>265</v>
      </c>
      <c r="N131" s="30">
        <v>-11</v>
      </c>
      <c r="O131" s="30">
        <v>78</v>
      </c>
      <c r="P131" s="30">
        <v>76</v>
      </c>
      <c r="Q131" s="30">
        <v>117</v>
      </c>
      <c r="R131" s="30" t="s">
        <v>142</v>
      </c>
      <c r="S131" s="30">
        <v>4.2</v>
      </c>
      <c r="T131" s="30">
        <v>1.8</v>
      </c>
      <c r="U131" s="34">
        <v>3</v>
      </c>
      <c r="V131" s="35">
        <v>5</v>
      </c>
      <c r="Y131" s="31" t="s">
        <v>590</v>
      </c>
      <c r="Z131" s="30">
        <v>-27.8</v>
      </c>
      <c r="AA131" s="30">
        <v>-23.3</v>
      </c>
      <c r="AB131" s="30">
        <v>-13.7</v>
      </c>
      <c r="AC131" s="30">
        <v>-1.8</v>
      </c>
      <c r="AD131" s="30">
        <v>7.1</v>
      </c>
      <c r="AE131" s="30">
        <v>15.2</v>
      </c>
      <c r="AF131" s="30">
        <v>18</v>
      </c>
      <c r="AG131" s="30">
        <v>14.7</v>
      </c>
      <c r="AH131" s="30">
        <v>7.1</v>
      </c>
      <c r="AI131" s="30">
        <v>-2</v>
      </c>
      <c r="AJ131" s="30">
        <v>-15.8</v>
      </c>
      <c r="AK131" s="30">
        <v>-26</v>
      </c>
      <c r="AL131" s="30">
        <v>-4</v>
      </c>
    </row>
    <row r="132" spans="1:38" x14ac:dyDescent="0.25">
      <c r="A132" s="31" t="s">
        <v>794</v>
      </c>
      <c r="B132" s="30">
        <v>-59</v>
      </c>
      <c r="C132" s="30">
        <v>-57</v>
      </c>
      <c r="D132" s="30">
        <v>-56</v>
      </c>
      <c r="E132" s="30">
        <v>-54</v>
      </c>
      <c r="F132" s="30">
        <v>-38</v>
      </c>
      <c r="G132" s="30">
        <v>-61</v>
      </c>
      <c r="H132" s="30">
        <v>10.7</v>
      </c>
      <c r="I132" s="30">
        <v>216</v>
      </c>
      <c r="J132" s="30">
        <v>-21.8</v>
      </c>
      <c r="K132" s="30">
        <v>266</v>
      </c>
      <c r="L132" s="30">
        <v>-16.899999999999999</v>
      </c>
      <c r="M132" s="30">
        <v>278</v>
      </c>
      <c r="N132" s="30">
        <v>-15.8</v>
      </c>
      <c r="O132" s="30">
        <v>78</v>
      </c>
      <c r="P132" s="30">
        <v>77</v>
      </c>
      <c r="Q132" s="30">
        <v>94</v>
      </c>
      <c r="R132" s="30" t="s">
        <v>150</v>
      </c>
      <c r="S132" s="30">
        <v>3</v>
      </c>
      <c r="T132" s="30">
        <v>1.5</v>
      </c>
      <c r="U132" s="34">
        <v>3</v>
      </c>
      <c r="V132" s="35">
        <v>5</v>
      </c>
      <c r="Y132" s="31" t="s">
        <v>589</v>
      </c>
      <c r="Z132" s="30">
        <v>-34.6</v>
      </c>
      <c r="AA132" s="30">
        <v>-30.3</v>
      </c>
      <c r="AB132" s="30">
        <v>-17.7</v>
      </c>
      <c r="AC132" s="30">
        <v>-6.1</v>
      </c>
      <c r="AD132" s="30">
        <v>4.4000000000000004</v>
      </c>
      <c r="AE132" s="30">
        <v>13.7</v>
      </c>
      <c r="AF132" s="30">
        <v>17</v>
      </c>
      <c r="AG132" s="30">
        <v>13</v>
      </c>
      <c r="AH132" s="30">
        <v>4.9000000000000004</v>
      </c>
      <c r="AI132" s="30">
        <v>-6.8</v>
      </c>
      <c r="AJ132" s="30">
        <v>-23.5</v>
      </c>
      <c r="AK132" s="30">
        <v>-32.200000000000003</v>
      </c>
      <c r="AL132" s="30">
        <v>-8.1999999999999993</v>
      </c>
    </row>
    <row r="133" spans="1:38" x14ac:dyDescent="0.25">
      <c r="A133" s="31" t="s">
        <v>588</v>
      </c>
      <c r="B133" s="30">
        <v>-52</v>
      </c>
      <c r="C133" s="30">
        <v>-50</v>
      </c>
      <c r="D133" s="30">
        <v>-50</v>
      </c>
      <c r="E133" s="30">
        <v>-48</v>
      </c>
      <c r="F133" s="30">
        <v>-30</v>
      </c>
      <c r="G133" s="30">
        <v>-56</v>
      </c>
      <c r="H133" s="30">
        <v>11.3</v>
      </c>
      <c r="I133" s="30">
        <v>193</v>
      </c>
      <c r="J133" s="30">
        <v>-15.8</v>
      </c>
      <c r="K133" s="30">
        <v>253</v>
      </c>
      <c r="L133" s="30">
        <v>-11.1</v>
      </c>
      <c r="M133" s="30">
        <v>269</v>
      </c>
      <c r="N133" s="30">
        <v>-9.9</v>
      </c>
      <c r="O133" s="30">
        <v>78</v>
      </c>
      <c r="P133" s="30">
        <v>76</v>
      </c>
      <c r="Q133" s="30">
        <v>103</v>
      </c>
      <c r="R133" s="30" t="s">
        <v>155</v>
      </c>
      <c r="S133" s="30" t="s">
        <v>41</v>
      </c>
      <c r="T133" s="30">
        <v>2.1</v>
      </c>
      <c r="U133" s="34">
        <v>3</v>
      </c>
      <c r="V133" s="35">
        <v>5</v>
      </c>
      <c r="Y133" s="31" t="s">
        <v>588</v>
      </c>
      <c r="Z133" s="30">
        <v>-24.9</v>
      </c>
      <c r="AA133" s="30">
        <v>-23.2</v>
      </c>
      <c r="AB133" s="30">
        <v>-13.3</v>
      </c>
      <c r="AC133" s="30">
        <v>-1.8</v>
      </c>
      <c r="AD133" s="30">
        <v>6.5</v>
      </c>
      <c r="AE133" s="30">
        <v>14.6</v>
      </c>
      <c r="AF133" s="30">
        <v>17.600000000000001</v>
      </c>
      <c r="AG133" s="30">
        <v>14.1</v>
      </c>
      <c r="AH133" s="30">
        <v>6.9</v>
      </c>
      <c r="AI133" s="30">
        <v>-1.4</v>
      </c>
      <c r="AJ133" s="30">
        <v>-14.4</v>
      </c>
      <c r="AK133" s="30">
        <v>-23.4</v>
      </c>
      <c r="AL133" s="30">
        <v>-3.6</v>
      </c>
    </row>
    <row r="134" spans="1:38" x14ac:dyDescent="0.25">
      <c r="A134" s="31" t="s">
        <v>587</v>
      </c>
      <c r="B134" s="30">
        <v>-55</v>
      </c>
      <c r="C134" s="30">
        <v>-52</v>
      </c>
      <c r="D134" s="30">
        <v>-51</v>
      </c>
      <c r="E134" s="30">
        <v>-50</v>
      </c>
      <c r="F134" s="30">
        <v>-33</v>
      </c>
      <c r="G134" s="30">
        <v>-58</v>
      </c>
      <c r="H134" s="30">
        <v>11.1</v>
      </c>
      <c r="I134" s="30">
        <v>206</v>
      </c>
      <c r="J134" s="30">
        <v>-17.399999999999999</v>
      </c>
      <c r="K134" s="30">
        <v>261</v>
      </c>
      <c r="L134" s="30">
        <v>-12.9</v>
      </c>
      <c r="M134" s="30">
        <v>277</v>
      </c>
      <c r="N134" s="30">
        <v>-11.6</v>
      </c>
      <c r="O134" s="30">
        <v>78</v>
      </c>
      <c r="P134" s="30">
        <v>77</v>
      </c>
      <c r="Q134" s="30">
        <v>100</v>
      </c>
      <c r="R134" s="30" t="s">
        <v>185</v>
      </c>
      <c r="S134" s="30" t="s">
        <v>41</v>
      </c>
      <c r="T134" s="30">
        <v>2</v>
      </c>
      <c r="U134" s="34">
        <v>3</v>
      </c>
      <c r="V134" s="35">
        <v>5</v>
      </c>
      <c r="Y134" s="31" t="s">
        <v>587</v>
      </c>
      <c r="Z134" s="30">
        <v>-27.9</v>
      </c>
      <c r="AA134" s="30">
        <v>-25.4</v>
      </c>
      <c r="AB134" s="30">
        <v>-14.6</v>
      </c>
      <c r="AC134" s="30">
        <v>-3.5</v>
      </c>
      <c r="AD134" s="30">
        <v>5.6</v>
      </c>
      <c r="AE134" s="30">
        <v>13.9</v>
      </c>
      <c r="AF134" s="30">
        <v>16.8</v>
      </c>
      <c r="AG134" s="30">
        <v>12.9</v>
      </c>
      <c r="AH134" s="30">
        <v>5.7</v>
      </c>
      <c r="AI134" s="30">
        <v>-4</v>
      </c>
      <c r="AJ134" s="30">
        <v>-18.5</v>
      </c>
      <c r="AK134" s="30">
        <v>-27.2</v>
      </c>
      <c r="AL134" s="30">
        <v>-5.5</v>
      </c>
    </row>
    <row r="135" spans="1:38" x14ac:dyDescent="0.25">
      <c r="A135" s="31" t="s">
        <v>795</v>
      </c>
      <c r="B135" s="30">
        <v>-50</v>
      </c>
      <c r="C135" s="30">
        <v>-49</v>
      </c>
      <c r="D135" s="30">
        <v>-47</v>
      </c>
      <c r="E135" s="30">
        <v>-45</v>
      </c>
      <c r="F135" s="30">
        <v>-30</v>
      </c>
      <c r="G135" s="30">
        <v>-55</v>
      </c>
      <c r="H135" s="30">
        <v>10.8</v>
      </c>
      <c r="I135" s="30">
        <v>194</v>
      </c>
      <c r="J135" s="30">
        <v>-16.8</v>
      </c>
      <c r="K135" s="30">
        <v>252</v>
      </c>
      <c r="L135" s="30">
        <v>-12</v>
      </c>
      <c r="M135" s="30">
        <v>267</v>
      </c>
      <c r="N135" s="30">
        <v>-10.8</v>
      </c>
      <c r="O135" s="30">
        <v>80</v>
      </c>
      <c r="P135" s="30">
        <v>77</v>
      </c>
      <c r="Q135" s="30">
        <v>92</v>
      </c>
      <c r="R135" s="30" t="s">
        <v>185</v>
      </c>
      <c r="S135" s="30">
        <v>2.6</v>
      </c>
      <c r="T135" s="30">
        <v>1.1000000000000001</v>
      </c>
      <c r="U135" s="34">
        <v>3</v>
      </c>
      <c r="V135" s="35">
        <v>5</v>
      </c>
      <c r="Y135" s="31" t="s">
        <v>586</v>
      </c>
      <c r="Z135" s="30">
        <v>-26.9</v>
      </c>
      <c r="AA135" s="30">
        <v>-22.7</v>
      </c>
      <c r="AB135" s="30">
        <v>-12.4</v>
      </c>
      <c r="AC135" s="30">
        <v>-1.5</v>
      </c>
      <c r="AD135" s="30">
        <v>7.2</v>
      </c>
      <c r="AE135" s="30">
        <v>14.6</v>
      </c>
      <c r="AF135" s="30">
        <v>17.3</v>
      </c>
      <c r="AG135" s="30">
        <v>14.1</v>
      </c>
      <c r="AH135" s="30">
        <v>6.7</v>
      </c>
      <c r="AI135" s="30">
        <v>-2.2000000000000002</v>
      </c>
      <c r="AJ135" s="30">
        <v>-14</v>
      </c>
      <c r="AK135" s="30">
        <v>-23.9</v>
      </c>
      <c r="AL135" s="30">
        <v>-3.6</v>
      </c>
    </row>
    <row r="136" spans="1:38" x14ac:dyDescent="0.25">
      <c r="A136" s="31" t="s">
        <v>796</v>
      </c>
      <c r="B136" s="30">
        <v>-51</v>
      </c>
      <c r="C136" s="30">
        <v>-50</v>
      </c>
      <c r="D136" s="30">
        <v>-48</v>
      </c>
      <c r="E136" s="30">
        <v>-46</v>
      </c>
      <c r="F136" s="30">
        <v>-29</v>
      </c>
      <c r="G136" s="30">
        <v>-56</v>
      </c>
      <c r="H136" s="30">
        <v>9.3000000000000007</v>
      </c>
      <c r="I136" s="30">
        <v>202</v>
      </c>
      <c r="J136" s="30">
        <v>-17.3</v>
      </c>
      <c r="K136" s="30">
        <v>258</v>
      </c>
      <c r="L136" s="30">
        <v>-12.6</v>
      </c>
      <c r="M136" s="30">
        <v>271</v>
      </c>
      <c r="N136" s="30">
        <v>-11.6</v>
      </c>
      <c r="O136" s="30">
        <v>72</v>
      </c>
      <c r="P136" s="30">
        <v>70</v>
      </c>
      <c r="Q136" s="30">
        <v>41</v>
      </c>
      <c r="R136" s="30" t="s">
        <v>140</v>
      </c>
      <c r="S136" s="30">
        <v>3.1</v>
      </c>
      <c r="T136" s="30">
        <v>1.7</v>
      </c>
      <c r="U136" s="34">
        <v>3</v>
      </c>
      <c r="V136" s="35">
        <v>5</v>
      </c>
      <c r="Y136" s="31" t="s">
        <v>585</v>
      </c>
      <c r="Z136" s="30">
        <v>-26.3</v>
      </c>
      <c r="AA136" s="30">
        <v>-23.5</v>
      </c>
      <c r="AB136" s="30">
        <v>-14.2</v>
      </c>
      <c r="AC136" s="30">
        <v>-2.8</v>
      </c>
      <c r="AD136" s="30">
        <v>6.3</v>
      </c>
      <c r="AE136" s="30">
        <v>14.1</v>
      </c>
      <c r="AF136" s="30">
        <v>17</v>
      </c>
      <c r="AG136" s="30">
        <v>13.6</v>
      </c>
      <c r="AH136" s="30">
        <v>5.8</v>
      </c>
      <c r="AI136" s="30">
        <v>-3.9</v>
      </c>
      <c r="AJ136" s="30">
        <v>-16.7</v>
      </c>
      <c r="AK136" s="30">
        <v>-24.6</v>
      </c>
      <c r="AL136" s="30">
        <v>-4.5999999999999996</v>
      </c>
    </row>
    <row r="137" spans="1:38" x14ac:dyDescent="0.25">
      <c r="A137" s="31" t="s">
        <v>584</v>
      </c>
      <c r="B137" s="30">
        <v>-55</v>
      </c>
      <c r="C137" s="30">
        <v>-53</v>
      </c>
      <c r="D137" s="30">
        <v>-51</v>
      </c>
      <c r="E137" s="30">
        <v>-50</v>
      </c>
      <c r="F137" s="30">
        <v>-34</v>
      </c>
      <c r="G137" s="30">
        <v>-60</v>
      </c>
      <c r="H137" s="30">
        <v>10.5</v>
      </c>
      <c r="I137" s="30">
        <v>207</v>
      </c>
      <c r="J137" s="30">
        <v>-17.8</v>
      </c>
      <c r="K137" s="30">
        <v>259</v>
      </c>
      <c r="L137" s="30">
        <v>-13.3</v>
      </c>
      <c r="M137" s="30">
        <v>274</v>
      </c>
      <c r="N137" s="30">
        <v>-12.1</v>
      </c>
      <c r="O137" s="30">
        <v>78</v>
      </c>
      <c r="P137" s="30">
        <v>77</v>
      </c>
      <c r="Q137" s="30">
        <v>124</v>
      </c>
      <c r="R137" s="30" t="s">
        <v>41</v>
      </c>
      <c r="S137" s="30" t="s">
        <v>41</v>
      </c>
      <c r="T137" s="30">
        <v>2.6</v>
      </c>
      <c r="U137" s="34">
        <v>3</v>
      </c>
      <c r="V137" s="35">
        <v>5</v>
      </c>
      <c r="Y137" s="31" t="s">
        <v>584</v>
      </c>
      <c r="Z137" s="30">
        <v>-29.2</v>
      </c>
      <c r="AA137" s="30">
        <v>-24.2</v>
      </c>
      <c r="AB137" s="30">
        <v>-15.4</v>
      </c>
      <c r="AC137" s="30">
        <v>-3.9</v>
      </c>
      <c r="AD137" s="30">
        <v>5.6</v>
      </c>
      <c r="AE137" s="30">
        <v>14.7</v>
      </c>
      <c r="AF137" s="30">
        <v>17.7</v>
      </c>
      <c r="AG137" s="30">
        <v>13.5</v>
      </c>
      <c r="AH137" s="30">
        <v>5.8</v>
      </c>
      <c r="AI137" s="30">
        <v>-4.0999999999999996</v>
      </c>
      <c r="AJ137" s="30">
        <v>-18.600000000000001</v>
      </c>
      <c r="AK137" s="30">
        <v>-28.4</v>
      </c>
      <c r="AL137" s="30">
        <v>-5.5</v>
      </c>
    </row>
    <row r="138" spans="1:38" x14ac:dyDescent="0.25">
      <c r="A138" s="31" t="s">
        <v>797</v>
      </c>
      <c r="B138" s="30">
        <v>-43</v>
      </c>
      <c r="C138" s="30">
        <v>-40</v>
      </c>
      <c r="D138" s="30">
        <v>-42</v>
      </c>
      <c r="E138" s="30">
        <v>-39</v>
      </c>
      <c r="F138" s="30">
        <v>-25</v>
      </c>
      <c r="G138" s="30">
        <v>-50</v>
      </c>
      <c r="H138" s="30">
        <v>-10.199999999999999</v>
      </c>
      <c r="I138" s="30">
        <v>176</v>
      </c>
      <c r="J138" s="30">
        <v>-14</v>
      </c>
      <c r="K138" s="30">
        <v>234</v>
      </c>
      <c r="L138" s="30">
        <v>-9.1</v>
      </c>
      <c r="M138" s="30">
        <v>250</v>
      </c>
      <c r="N138" s="30">
        <v>7.9</v>
      </c>
      <c r="O138" s="30">
        <v>81</v>
      </c>
      <c r="P138" s="30">
        <v>77</v>
      </c>
      <c r="Q138" s="30">
        <v>86</v>
      </c>
      <c r="R138" s="30" t="s">
        <v>150</v>
      </c>
      <c r="S138" s="30">
        <v>4.4000000000000004</v>
      </c>
      <c r="T138" s="30">
        <v>2.2000000000000002</v>
      </c>
      <c r="U138" s="34">
        <v>3</v>
      </c>
      <c r="V138" s="35">
        <v>5</v>
      </c>
      <c r="Y138" s="31" t="s">
        <v>583</v>
      </c>
      <c r="Z138" s="30">
        <v>-18.3</v>
      </c>
      <c r="AA138" s="30">
        <v>-14</v>
      </c>
      <c r="AB138" s="30">
        <v>-6.8</v>
      </c>
      <c r="AC138" s="30">
        <v>1.7</v>
      </c>
      <c r="AD138" s="30">
        <v>10.1</v>
      </c>
      <c r="AE138" s="30">
        <v>15.5</v>
      </c>
      <c r="AF138" s="30">
        <v>18.7</v>
      </c>
      <c r="AG138" s="30">
        <v>15.8</v>
      </c>
      <c r="AH138" s="30">
        <v>8.5</v>
      </c>
      <c r="AI138" s="30">
        <v>0.8</v>
      </c>
      <c r="AJ138" s="30">
        <v>-9.4</v>
      </c>
      <c r="AK138" s="30">
        <v>-16.3</v>
      </c>
      <c r="AL138" s="30">
        <v>0.5</v>
      </c>
    </row>
    <row r="139" spans="1:38" x14ac:dyDescent="0.25">
      <c r="A139" s="31" t="s">
        <v>582</v>
      </c>
      <c r="B139" s="30">
        <v>-32</v>
      </c>
      <c r="C139" s="30">
        <v>-31</v>
      </c>
      <c r="D139" s="30">
        <v>-30</v>
      </c>
      <c r="E139" s="30">
        <v>-28</v>
      </c>
      <c r="F139" s="30">
        <v>-22</v>
      </c>
      <c r="G139" s="30">
        <v>-40</v>
      </c>
      <c r="H139" s="30">
        <v>8.8000000000000007</v>
      </c>
      <c r="I139" s="30">
        <v>177</v>
      </c>
      <c r="J139" s="30">
        <v>-11</v>
      </c>
      <c r="K139" s="30">
        <v>254</v>
      </c>
      <c r="L139" s="30">
        <v>-6.4</v>
      </c>
      <c r="M139" s="30">
        <v>274</v>
      </c>
      <c r="N139" s="30">
        <v>-5.3</v>
      </c>
      <c r="O139" s="30">
        <v>76</v>
      </c>
      <c r="P139" s="30">
        <v>68</v>
      </c>
      <c r="Q139" s="30">
        <v>50</v>
      </c>
      <c r="R139" s="30" t="s">
        <v>155</v>
      </c>
      <c r="S139" s="30">
        <v>1.5</v>
      </c>
      <c r="T139" s="30" t="s">
        <v>41</v>
      </c>
      <c r="U139" s="34">
        <v>3</v>
      </c>
      <c r="V139" s="35">
        <v>5</v>
      </c>
      <c r="Y139" s="31" t="s">
        <v>582</v>
      </c>
      <c r="Z139" s="30">
        <v>-17.399999999999999</v>
      </c>
      <c r="AA139" s="30">
        <v>-17</v>
      </c>
      <c r="AB139" s="30">
        <v>-9.9</v>
      </c>
      <c r="AC139" s="30">
        <v>-0.3</v>
      </c>
      <c r="AD139" s="30">
        <v>6</v>
      </c>
      <c r="AE139" s="30">
        <v>11.8</v>
      </c>
      <c r="AF139" s="30">
        <v>15.3</v>
      </c>
      <c r="AG139" s="30">
        <v>14.2</v>
      </c>
      <c r="AH139" s="30">
        <v>7.8</v>
      </c>
      <c r="AI139" s="30">
        <v>-1.7</v>
      </c>
      <c r="AJ139" s="30">
        <v>-7.3</v>
      </c>
      <c r="AK139" s="30">
        <v>-13.5</v>
      </c>
      <c r="AL139" s="30">
        <v>-0.7</v>
      </c>
    </row>
    <row r="140" spans="1:38" x14ac:dyDescent="0.25">
      <c r="A140" s="31" t="s">
        <v>798</v>
      </c>
      <c r="B140" s="30">
        <v>-46</v>
      </c>
      <c r="C140" s="30">
        <v>-44</v>
      </c>
      <c r="D140" s="30">
        <v>-42</v>
      </c>
      <c r="E140" s="30">
        <v>-39</v>
      </c>
      <c r="F140" s="30">
        <v>-23</v>
      </c>
      <c r="G140" s="30">
        <v>-50</v>
      </c>
      <c r="H140" s="30">
        <v>10.1</v>
      </c>
      <c r="I140" s="30">
        <v>177</v>
      </c>
      <c r="J140" s="30">
        <v>-12.3</v>
      </c>
      <c r="K140" s="30">
        <v>237</v>
      </c>
      <c r="L140" s="30">
        <v>-8.1</v>
      </c>
      <c r="M140" s="30">
        <v>253</v>
      </c>
      <c r="N140" s="30">
        <v>-7.1</v>
      </c>
      <c r="O140" s="30">
        <v>79</v>
      </c>
      <c r="P140" s="30">
        <v>77</v>
      </c>
      <c r="Q140" s="30">
        <v>98</v>
      </c>
      <c r="R140" s="30" t="s">
        <v>142</v>
      </c>
      <c r="S140" s="30">
        <v>3.4</v>
      </c>
      <c r="T140" s="30">
        <v>2.4</v>
      </c>
      <c r="U140" s="34">
        <v>3</v>
      </c>
      <c r="V140" s="35">
        <v>5</v>
      </c>
      <c r="Y140" s="31" t="s">
        <v>581</v>
      </c>
      <c r="Z140" s="30">
        <v>-18.899999999999999</v>
      </c>
      <c r="AA140" s="30">
        <v>-16.100000000000001</v>
      </c>
      <c r="AB140" s="30">
        <v>-7.7</v>
      </c>
      <c r="AC140" s="30">
        <v>1.3</v>
      </c>
      <c r="AD140" s="30">
        <v>9.3000000000000007</v>
      </c>
      <c r="AE140" s="30">
        <v>15.9</v>
      </c>
      <c r="AF140" s="30">
        <v>18.399999999999999</v>
      </c>
      <c r="AG140" s="30">
        <v>15.2</v>
      </c>
      <c r="AH140" s="30">
        <v>8.4</v>
      </c>
      <c r="AI140" s="30">
        <v>0.5</v>
      </c>
      <c r="AJ140" s="30">
        <v>-9.1</v>
      </c>
      <c r="AK140" s="30">
        <v>-16.7</v>
      </c>
      <c r="AL140" s="30">
        <v>0</v>
      </c>
    </row>
    <row r="141" spans="1:38" x14ac:dyDescent="0.25">
      <c r="A141" s="31" t="s">
        <v>799</v>
      </c>
      <c r="B141" s="30">
        <v>-45</v>
      </c>
      <c r="C141" s="30">
        <v>-43</v>
      </c>
      <c r="D141" s="30">
        <v>-41</v>
      </c>
      <c r="E141" s="30">
        <v>-39</v>
      </c>
      <c r="F141" s="30">
        <v>-24</v>
      </c>
      <c r="G141" s="30">
        <v>-50</v>
      </c>
      <c r="H141" s="30">
        <v>10</v>
      </c>
      <c r="I141" s="30">
        <v>182</v>
      </c>
      <c r="J141" s="30">
        <v>-12.8</v>
      </c>
      <c r="K141" s="30">
        <v>241</v>
      </c>
      <c r="L141" s="30">
        <v>-8.6</v>
      </c>
      <c r="M141" s="30">
        <v>257</v>
      </c>
      <c r="N141" s="30">
        <v>-7.5</v>
      </c>
      <c r="O141" s="30">
        <v>78</v>
      </c>
      <c r="P141" s="30">
        <v>73</v>
      </c>
      <c r="Q141" s="30">
        <v>60</v>
      </c>
      <c r="R141" s="30" t="s">
        <v>150</v>
      </c>
      <c r="S141" s="30">
        <v>2.4</v>
      </c>
      <c r="T141" s="30">
        <v>1.8</v>
      </c>
      <c r="U141" s="34">
        <v>3</v>
      </c>
      <c r="V141" s="35">
        <v>5</v>
      </c>
      <c r="Y141" s="31" t="s">
        <v>580</v>
      </c>
      <c r="Z141" s="30">
        <v>-20.100000000000001</v>
      </c>
      <c r="AA141" s="30">
        <v>-16.5</v>
      </c>
      <c r="AB141" s="30">
        <v>-8.1999999999999993</v>
      </c>
      <c r="AC141" s="30">
        <v>0.8</v>
      </c>
      <c r="AD141" s="30">
        <v>8.9</v>
      </c>
      <c r="AE141" s="30">
        <v>15.1</v>
      </c>
      <c r="AF141" s="30">
        <v>17.5</v>
      </c>
      <c r="AG141" s="30">
        <v>14.6</v>
      </c>
      <c r="AH141" s="30">
        <v>7.9</v>
      </c>
      <c r="AI141" s="30">
        <v>-0.2</v>
      </c>
      <c r="AJ141" s="30">
        <v>-10.1</v>
      </c>
      <c r="AK141" s="30">
        <v>-17.8</v>
      </c>
      <c r="AL141" s="30">
        <v>-0.7</v>
      </c>
    </row>
    <row r="142" spans="1:38" ht="25.5" x14ac:dyDescent="0.25">
      <c r="A142" s="31" t="s">
        <v>801</v>
      </c>
      <c r="B142" s="30">
        <v>-46</v>
      </c>
      <c r="C142" s="30">
        <v>-44</v>
      </c>
      <c r="D142" s="30">
        <v>-44</v>
      </c>
      <c r="E142" s="30">
        <v>-41</v>
      </c>
      <c r="F142" s="30">
        <v>-30</v>
      </c>
      <c r="G142" s="30">
        <v>-50</v>
      </c>
      <c r="H142" s="30">
        <v>11.1</v>
      </c>
      <c r="I142" s="30">
        <v>183</v>
      </c>
      <c r="J142" s="30">
        <v>-15.8</v>
      </c>
      <c r="K142" s="30">
        <v>243</v>
      </c>
      <c r="L142" s="30">
        <v>-10.9</v>
      </c>
      <c r="M142" s="30">
        <v>259</v>
      </c>
      <c r="N142" s="30">
        <v>-9.6</v>
      </c>
      <c r="O142" s="30">
        <v>80</v>
      </c>
      <c r="P142" s="30">
        <v>79</v>
      </c>
      <c r="Q142" s="30">
        <v>46</v>
      </c>
      <c r="R142" s="30" t="s">
        <v>165</v>
      </c>
      <c r="S142" s="30" t="s">
        <v>41</v>
      </c>
      <c r="T142" s="30">
        <v>3.1</v>
      </c>
      <c r="U142" s="34">
        <v>3</v>
      </c>
      <c r="V142" s="35">
        <v>5</v>
      </c>
      <c r="Y142" s="31" t="s">
        <v>579</v>
      </c>
      <c r="Z142" s="30">
        <v>-24.8</v>
      </c>
      <c r="AA142" s="30">
        <v>-22.3</v>
      </c>
      <c r="AB142" s="30">
        <v>-12.5</v>
      </c>
      <c r="AC142" s="30">
        <v>0.6</v>
      </c>
      <c r="AD142" s="30">
        <v>8.1999999999999993</v>
      </c>
      <c r="AE142" s="30">
        <v>15.6</v>
      </c>
      <c r="AF142" s="30">
        <v>18</v>
      </c>
      <c r="AG142" s="30">
        <v>15.1</v>
      </c>
      <c r="AH142" s="30">
        <v>7.7</v>
      </c>
      <c r="AI142" s="30">
        <v>-0.8</v>
      </c>
      <c r="AJ142" s="30">
        <v>-14.2</v>
      </c>
      <c r="AK142" s="30">
        <v>-21.9</v>
      </c>
      <c r="AL142" s="30">
        <v>-2.6</v>
      </c>
    </row>
    <row r="143" spans="1:38" ht="38.25" x14ac:dyDescent="0.25">
      <c r="A143" s="33" t="s">
        <v>578</v>
      </c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34"/>
      <c r="Y143" s="33" t="s">
        <v>578</v>
      </c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</row>
    <row r="144" spans="1:38" x14ac:dyDescent="0.25">
      <c r="A144" s="31" t="s">
        <v>577</v>
      </c>
      <c r="B144" s="30">
        <v>-24</v>
      </c>
      <c r="C144" s="30">
        <v>-21</v>
      </c>
      <c r="D144" s="30">
        <v>-20</v>
      </c>
      <c r="E144" s="30">
        <v>-18</v>
      </c>
      <c r="F144" s="30">
        <v>-9</v>
      </c>
      <c r="G144" s="30">
        <v>-31</v>
      </c>
      <c r="H144" s="30">
        <v>7</v>
      </c>
      <c r="I144" s="30">
        <v>86</v>
      </c>
      <c r="J144" s="30">
        <v>-2.5</v>
      </c>
      <c r="K144" s="30">
        <v>168</v>
      </c>
      <c r="L144" s="30">
        <v>0.6</v>
      </c>
      <c r="M144" s="30">
        <v>187</v>
      </c>
      <c r="N144" s="30">
        <v>1.4</v>
      </c>
      <c r="O144" s="30">
        <v>86</v>
      </c>
      <c r="P144" s="30">
        <v>81</v>
      </c>
      <c r="Q144" s="30">
        <v>136</v>
      </c>
      <c r="R144" s="30" t="s">
        <v>155</v>
      </c>
      <c r="S144" s="30">
        <v>2.5</v>
      </c>
      <c r="T144" s="30">
        <v>1.8</v>
      </c>
      <c r="U144" s="34">
        <v>0</v>
      </c>
      <c r="V144" s="29" t="s">
        <v>246</v>
      </c>
      <c r="Y144" s="31" t="s">
        <v>577</v>
      </c>
      <c r="Z144" s="30">
        <v>-4</v>
      </c>
      <c r="AA144" s="30">
        <v>-2.8</v>
      </c>
      <c r="AB144" s="30">
        <v>1.8</v>
      </c>
      <c r="AC144" s="30">
        <v>9.5</v>
      </c>
      <c r="AD144" s="30">
        <v>15.4</v>
      </c>
      <c r="AE144" s="30">
        <v>19.100000000000001</v>
      </c>
      <c r="AF144" s="30">
        <v>21.6</v>
      </c>
      <c r="AG144" s="30">
        <v>21</v>
      </c>
      <c r="AH144" s="30">
        <v>16</v>
      </c>
      <c r="AI144" s="30">
        <v>9.4</v>
      </c>
      <c r="AJ144" s="30">
        <v>3.8</v>
      </c>
      <c r="AK144" s="30">
        <v>-1.3</v>
      </c>
      <c r="AL144" s="30">
        <v>9.1</v>
      </c>
    </row>
    <row r="145" spans="1:38" ht="25.5" x14ac:dyDescent="0.25">
      <c r="A145" s="33" t="s">
        <v>576</v>
      </c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34"/>
      <c r="Y145" s="33" t="s">
        <v>576</v>
      </c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</row>
    <row r="146" spans="1:38" x14ac:dyDescent="0.25">
      <c r="A146" s="31" t="s">
        <v>800</v>
      </c>
      <c r="B146" s="30">
        <v>-25</v>
      </c>
      <c r="C146" s="30">
        <v>-22</v>
      </c>
      <c r="D146" s="30">
        <v>-21</v>
      </c>
      <c r="E146" s="30">
        <v>-19</v>
      </c>
      <c r="F146" s="30">
        <v>-6</v>
      </c>
      <c r="G146" s="30">
        <v>-33</v>
      </c>
      <c r="H146" s="30">
        <v>4.8</v>
      </c>
      <c r="I146" s="30">
        <v>87</v>
      </c>
      <c r="J146" s="30">
        <v>-1.6</v>
      </c>
      <c r="K146" s="30">
        <v>188</v>
      </c>
      <c r="L146" s="30">
        <v>1.2</v>
      </c>
      <c r="M146" s="30">
        <v>213</v>
      </c>
      <c r="N146" s="30">
        <v>2.1</v>
      </c>
      <c r="O146" s="30">
        <v>86</v>
      </c>
      <c r="P146" s="30">
        <v>83</v>
      </c>
      <c r="Q146" s="30">
        <v>306</v>
      </c>
      <c r="R146" s="30" t="s">
        <v>142</v>
      </c>
      <c r="S146" s="30">
        <v>3.6</v>
      </c>
      <c r="T146" s="30">
        <v>2.8</v>
      </c>
      <c r="U146" s="34">
        <v>0</v>
      </c>
      <c r="Y146" s="31" t="s">
        <v>575</v>
      </c>
      <c r="Z146" s="30">
        <v>-2.2000000000000002</v>
      </c>
      <c r="AA146" s="30">
        <v>-1.7</v>
      </c>
      <c r="AB146" s="30">
        <v>1.7</v>
      </c>
      <c r="AC146" s="30">
        <v>6.7</v>
      </c>
      <c r="AD146" s="30">
        <v>12.2</v>
      </c>
      <c r="AE146" s="30">
        <v>15.6</v>
      </c>
      <c r="AF146" s="30">
        <v>17.7</v>
      </c>
      <c r="AG146" s="30">
        <v>17.3</v>
      </c>
      <c r="AH146" s="30">
        <v>12.9</v>
      </c>
      <c r="AI146" s="30">
        <v>8.3000000000000007</v>
      </c>
      <c r="AJ146" s="30">
        <v>3.4</v>
      </c>
      <c r="AK146" s="30">
        <v>-0.4</v>
      </c>
      <c r="AL146" s="30">
        <v>7.6</v>
      </c>
    </row>
    <row r="147" spans="1:38" ht="25.5" x14ac:dyDescent="0.25">
      <c r="A147" s="33" t="s">
        <v>574</v>
      </c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34"/>
      <c r="Y147" s="33" t="s">
        <v>574</v>
      </c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</row>
    <row r="148" spans="1:38" x14ac:dyDescent="0.25">
      <c r="A148" s="31" t="s">
        <v>802</v>
      </c>
      <c r="B148" s="30">
        <v>-29</v>
      </c>
      <c r="C148" s="30">
        <v>-26</v>
      </c>
      <c r="D148" s="30">
        <v>-24</v>
      </c>
      <c r="E148" s="30">
        <v>-23</v>
      </c>
      <c r="F148" s="30">
        <v>-10</v>
      </c>
      <c r="G148" s="30">
        <v>-34</v>
      </c>
      <c r="H148" s="30">
        <v>5.7</v>
      </c>
      <c r="I148" s="30">
        <v>108</v>
      </c>
      <c r="J148" s="30">
        <v>-3.7</v>
      </c>
      <c r="K148" s="30">
        <v>169</v>
      </c>
      <c r="L148" s="30">
        <v>-1</v>
      </c>
      <c r="M148" s="30">
        <v>184</v>
      </c>
      <c r="N148" s="30">
        <v>-0.1</v>
      </c>
      <c r="O148" s="30">
        <v>88</v>
      </c>
      <c r="P148" s="30">
        <v>85</v>
      </c>
      <c r="Q148" s="30">
        <v>121</v>
      </c>
      <c r="R148" s="30" t="s">
        <v>146</v>
      </c>
      <c r="S148" s="30">
        <v>8.5</v>
      </c>
      <c r="T148" s="30">
        <v>6.3</v>
      </c>
      <c r="U148" s="34">
        <v>0</v>
      </c>
      <c r="Y148" s="31" t="s">
        <v>573</v>
      </c>
      <c r="Z148" s="30">
        <v>-5</v>
      </c>
      <c r="AA148" s="30">
        <v>-4.5999999999999996</v>
      </c>
      <c r="AB148" s="30">
        <v>1.3</v>
      </c>
      <c r="AC148" s="30">
        <v>10.3</v>
      </c>
      <c r="AD148" s="30">
        <v>16.8</v>
      </c>
      <c r="AE148" s="30">
        <v>21.6</v>
      </c>
      <c r="AF148" s="30">
        <v>24.6</v>
      </c>
      <c r="AG148" s="30">
        <v>23.4</v>
      </c>
      <c r="AH148" s="30">
        <v>17.2</v>
      </c>
      <c r="AI148" s="30">
        <v>9.6</v>
      </c>
      <c r="AJ148" s="30">
        <v>2.6</v>
      </c>
      <c r="AK148" s="30">
        <v>-2.5</v>
      </c>
      <c r="AL148" s="30">
        <v>9.6</v>
      </c>
    </row>
    <row r="149" spans="1:38" x14ac:dyDescent="0.25">
      <c r="A149" s="33" t="s">
        <v>572</v>
      </c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34"/>
      <c r="Y149" s="33" t="s">
        <v>572</v>
      </c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</row>
    <row r="150" spans="1:38" x14ac:dyDescent="0.25">
      <c r="A150" s="31" t="s">
        <v>571</v>
      </c>
      <c r="B150" s="30">
        <v>-34</v>
      </c>
      <c r="C150" s="30">
        <v>-31</v>
      </c>
      <c r="D150" s="30">
        <v>-30</v>
      </c>
      <c r="E150" s="30">
        <v>-27</v>
      </c>
      <c r="F150" s="30">
        <v>-15</v>
      </c>
      <c r="G150" s="30">
        <v>-46</v>
      </c>
      <c r="H150" s="30">
        <v>7.3</v>
      </c>
      <c r="I150" s="30">
        <v>142</v>
      </c>
      <c r="J150" s="30">
        <v>-6.2</v>
      </c>
      <c r="K150" s="30">
        <v>210</v>
      </c>
      <c r="L150" s="30">
        <v>-2.9</v>
      </c>
      <c r="M150" s="30">
        <v>228</v>
      </c>
      <c r="N150" s="30">
        <v>-1.9</v>
      </c>
      <c r="O150" s="30">
        <v>83</v>
      </c>
      <c r="P150" s="30">
        <v>83</v>
      </c>
      <c r="Q150" s="30">
        <v>213</v>
      </c>
      <c r="R150" s="30" t="s">
        <v>150</v>
      </c>
      <c r="S150" s="30">
        <v>4.9000000000000004</v>
      </c>
      <c r="T150" s="30">
        <v>3.9</v>
      </c>
      <c r="U150" s="34">
        <v>0</v>
      </c>
      <c r="Y150" s="31" t="s">
        <v>571</v>
      </c>
      <c r="Z150" s="30">
        <v>-10.1</v>
      </c>
      <c r="AA150" s="30">
        <v>-8.9</v>
      </c>
      <c r="AB150" s="30">
        <v>-3.9</v>
      </c>
      <c r="AC150" s="30">
        <v>4.8</v>
      </c>
      <c r="AD150" s="30">
        <v>12.3</v>
      </c>
      <c r="AE150" s="30">
        <v>16.2</v>
      </c>
      <c r="AF150" s="30">
        <v>18</v>
      </c>
      <c r="AG150" s="30">
        <v>16.5</v>
      </c>
      <c r="AH150" s="30">
        <v>11</v>
      </c>
      <c r="AI150" s="30">
        <v>4.7</v>
      </c>
      <c r="AJ150" s="30">
        <v>-1.5</v>
      </c>
      <c r="AK150" s="30">
        <v>-6.5</v>
      </c>
      <c r="AL150" s="30">
        <v>4.4000000000000004</v>
      </c>
    </row>
    <row r="151" spans="1:38" x14ac:dyDescent="0.25">
      <c r="A151" s="33" t="s">
        <v>570</v>
      </c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34"/>
      <c r="Y151" s="33" t="s">
        <v>570</v>
      </c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</row>
    <row r="152" spans="1:38" ht="25.5" x14ac:dyDescent="0.25">
      <c r="A152" s="31" t="s">
        <v>803</v>
      </c>
      <c r="B152" s="30">
        <v>-34</v>
      </c>
      <c r="C152" s="30">
        <v>-31</v>
      </c>
      <c r="D152" s="30">
        <v>-30</v>
      </c>
      <c r="E152" s="30">
        <v>-28</v>
      </c>
      <c r="F152" s="30">
        <v>-16</v>
      </c>
      <c r="G152" s="30">
        <v>-40</v>
      </c>
      <c r="H152" s="30">
        <v>6.4</v>
      </c>
      <c r="I152" s="30">
        <v>212</v>
      </c>
      <c r="J152" s="30">
        <v>-9.3000000000000007</v>
      </c>
      <c r="K152" s="30">
        <v>286</v>
      </c>
      <c r="L152" s="30">
        <v>-5.8</v>
      </c>
      <c r="M152" s="30">
        <v>317</v>
      </c>
      <c r="N152" s="30">
        <v>-4.3</v>
      </c>
      <c r="O152" s="36">
        <v>75</v>
      </c>
      <c r="P152" s="30">
        <v>75</v>
      </c>
      <c r="Q152" s="30">
        <v>185</v>
      </c>
      <c r="R152" s="30" t="s">
        <v>138</v>
      </c>
      <c r="S152" s="30">
        <v>8.5</v>
      </c>
      <c r="T152" s="30">
        <v>6.2</v>
      </c>
      <c r="U152" s="34">
        <v>4</v>
      </c>
      <c r="V152" s="35">
        <v>5</v>
      </c>
      <c r="Y152" s="31" t="s">
        <v>569</v>
      </c>
      <c r="Z152" s="30">
        <v>-12.4</v>
      </c>
      <c r="AA152" s="30">
        <v>-12.7</v>
      </c>
      <c r="AB152" s="30">
        <v>-11</v>
      </c>
      <c r="AC152" s="30">
        <v>-6.4</v>
      </c>
      <c r="AD152" s="30">
        <v>1</v>
      </c>
      <c r="AE152" s="30">
        <v>6.7</v>
      </c>
      <c r="AF152" s="30">
        <v>10.199999999999999</v>
      </c>
      <c r="AG152" s="30">
        <v>10.7</v>
      </c>
      <c r="AH152" s="30">
        <v>7</v>
      </c>
      <c r="AI152" s="30">
        <v>-0.6</v>
      </c>
      <c r="AJ152" s="30">
        <v>-7.6</v>
      </c>
      <c r="AK152" s="30">
        <v>-12</v>
      </c>
      <c r="AL152" s="30">
        <v>-2.2999999999999998</v>
      </c>
    </row>
    <row r="153" spans="1:38" x14ac:dyDescent="0.25">
      <c r="A153" s="31" t="s">
        <v>804</v>
      </c>
      <c r="B153" s="30">
        <v>-30</v>
      </c>
      <c r="C153" s="30">
        <v>-28</v>
      </c>
      <c r="D153" s="30">
        <v>-27</v>
      </c>
      <c r="E153" s="30">
        <v>-26</v>
      </c>
      <c r="F153" s="30">
        <v>-16</v>
      </c>
      <c r="G153" s="30">
        <v>-36</v>
      </c>
      <c r="H153" s="30">
        <v>7.6</v>
      </c>
      <c r="I153" s="30">
        <v>184</v>
      </c>
      <c r="J153" s="30">
        <v>-8.3000000000000007</v>
      </c>
      <c r="K153" s="30">
        <v>276</v>
      </c>
      <c r="L153" s="30">
        <v>-4.0999999999999996</v>
      </c>
      <c r="M153" s="30">
        <v>306</v>
      </c>
      <c r="N153" s="30">
        <v>-2.8</v>
      </c>
      <c r="O153" s="30">
        <v>77</v>
      </c>
      <c r="P153" s="30">
        <v>76</v>
      </c>
      <c r="Q153" s="30">
        <v>209</v>
      </c>
      <c r="R153" s="30" t="s">
        <v>138</v>
      </c>
      <c r="S153" s="30">
        <v>4.2</v>
      </c>
      <c r="T153" s="30">
        <v>4.9000000000000004</v>
      </c>
      <c r="U153" s="34">
        <v>4</v>
      </c>
      <c r="V153" s="35">
        <v>5</v>
      </c>
      <c r="Y153" s="31" t="s">
        <v>568</v>
      </c>
      <c r="Z153" s="30">
        <v>-12.3</v>
      </c>
      <c r="AA153" s="30">
        <v>-12.3</v>
      </c>
      <c r="AB153" s="30">
        <v>-8.6</v>
      </c>
      <c r="AC153" s="30">
        <v>-2.8</v>
      </c>
      <c r="AD153" s="30">
        <v>2.2999999999999998</v>
      </c>
      <c r="AE153" s="30">
        <v>6.7</v>
      </c>
      <c r="AF153" s="30">
        <v>10.7</v>
      </c>
      <c r="AG153" s="30">
        <v>11.6</v>
      </c>
      <c r="AH153" s="30">
        <v>8.8000000000000007</v>
      </c>
      <c r="AI153" s="30">
        <v>3.7</v>
      </c>
      <c r="AJ153" s="30">
        <v>-3.5</v>
      </c>
      <c r="AK153" s="30">
        <v>-9.3000000000000007</v>
      </c>
      <c r="AL153" s="30">
        <v>-0.4</v>
      </c>
    </row>
    <row r="154" spans="1:38" x14ac:dyDescent="0.25">
      <c r="A154" s="31" t="s">
        <v>482</v>
      </c>
      <c r="B154" s="30">
        <v>-38</v>
      </c>
      <c r="C154" s="30">
        <v>-36</v>
      </c>
      <c r="D154" s="30">
        <v>-34</v>
      </c>
      <c r="E154" s="30">
        <v>-33</v>
      </c>
      <c r="F154" s="30">
        <v>-19</v>
      </c>
      <c r="G154" s="30">
        <v>-49</v>
      </c>
      <c r="H154" s="30">
        <v>7.8</v>
      </c>
      <c r="I154" s="30">
        <v>184</v>
      </c>
      <c r="J154" s="30">
        <v>-10.5</v>
      </c>
      <c r="K154" s="30">
        <v>251</v>
      </c>
      <c r="L154" s="30">
        <v>-6.6</v>
      </c>
      <c r="M154" s="30">
        <v>270</v>
      </c>
      <c r="N154" s="30">
        <v>-5.5</v>
      </c>
      <c r="O154" s="30">
        <v>82</v>
      </c>
      <c r="P154" s="30">
        <v>82</v>
      </c>
      <c r="Q154" s="30">
        <v>303</v>
      </c>
      <c r="R154" s="30" t="s">
        <v>142</v>
      </c>
      <c r="S154" s="30">
        <v>3.9</v>
      </c>
      <c r="T154" s="30">
        <v>3.5</v>
      </c>
      <c r="U154" s="34">
        <v>4</v>
      </c>
      <c r="V154" s="35">
        <v>5</v>
      </c>
      <c r="Y154" s="31" t="s">
        <v>567</v>
      </c>
      <c r="Z154" s="30">
        <v>-16.2</v>
      </c>
      <c r="AA154" s="30">
        <v>-13.6</v>
      </c>
      <c r="AB154" s="30">
        <v>-8.6999999999999993</v>
      </c>
      <c r="AC154" s="30">
        <v>-2.1</v>
      </c>
      <c r="AD154" s="30">
        <v>4.8</v>
      </c>
      <c r="AE154" s="30">
        <v>11.8</v>
      </c>
      <c r="AF154" s="30">
        <v>15.1</v>
      </c>
      <c r="AG154" s="30">
        <v>13.8</v>
      </c>
      <c r="AH154" s="30">
        <v>9</v>
      </c>
      <c r="AI154" s="30">
        <v>2.4</v>
      </c>
      <c r="AJ154" s="30">
        <v>-6.6</v>
      </c>
      <c r="AK154" s="30">
        <v>-14.2</v>
      </c>
      <c r="AL154" s="30">
        <v>-0.4</v>
      </c>
    </row>
    <row r="155" spans="1:38" x14ac:dyDescent="0.25">
      <c r="A155" s="31" t="s">
        <v>566</v>
      </c>
      <c r="B155" s="30">
        <v>-41</v>
      </c>
      <c r="C155" s="30">
        <v>-39</v>
      </c>
      <c r="D155" s="30">
        <v>-39</v>
      </c>
      <c r="E155" s="30">
        <v>-37</v>
      </c>
      <c r="F155" s="30">
        <v>-23</v>
      </c>
      <c r="G155" s="30">
        <v>-48</v>
      </c>
      <c r="H155" s="30">
        <v>12</v>
      </c>
      <c r="I155" s="30">
        <v>189</v>
      </c>
      <c r="J155" s="30">
        <v>-11.3</v>
      </c>
      <c r="K155" s="30">
        <v>256</v>
      </c>
      <c r="L155" s="30">
        <v>-7.3</v>
      </c>
      <c r="M155" s="30">
        <v>276</v>
      </c>
      <c r="N155" s="30">
        <v>-6.1</v>
      </c>
      <c r="O155" s="30">
        <v>82</v>
      </c>
      <c r="P155" s="30">
        <v>81</v>
      </c>
      <c r="Q155" s="30">
        <v>234</v>
      </c>
      <c r="R155" s="30" t="s">
        <v>165</v>
      </c>
      <c r="S155" s="30" t="s">
        <v>41</v>
      </c>
      <c r="T155" s="30" t="s">
        <v>41</v>
      </c>
      <c r="U155" s="34">
        <v>4</v>
      </c>
      <c r="V155" s="35">
        <v>5</v>
      </c>
      <c r="Y155" s="31" t="s">
        <v>566</v>
      </c>
      <c r="Z155" s="30">
        <v>-17.899999999999999</v>
      </c>
      <c r="AA155" s="30">
        <v>-15.1</v>
      </c>
      <c r="AB155" s="30">
        <v>-10.199999999999999</v>
      </c>
      <c r="AC155" s="30">
        <v>-2.1</v>
      </c>
      <c r="AD155" s="30">
        <v>5.0999999999999996</v>
      </c>
      <c r="AE155" s="30">
        <v>11.5</v>
      </c>
      <c r="AF155" s="30">
        <v>14.9</v>
      </c>
      <c r="AG155" s="30">
        <v>13.6</v>
      </c>
      <c r="AH155" s="30">
        <v>8.1</v>
      </c>
      <c r="AI155" s="30">
        <v>0.4</v>
      </c>
      <c r="AJ155" s="30">
        <v>-9.8000000000000007</v>
      </c>
      <c r="AK155" s="30">
        <v>-16.7</v>
      </c>
      <c r="AL155" s="30">
        <v>-1.5</v>
      </c>
    </row>
    <row r="156" spans="1:38" x14ac:dyDescent="0.25">
      <c r="A156" s="31" t="s">
        <v>565</v>
      </c>
      <c r="B156" s="30">
        <v>-35</v>
      </c>
      <c r="C156" s="30">
        <v>-32</v>
      </c>
      <c r="D156" s="30">
        <v>-31</v>
      </c>
      <c r="E156" s="30">
        <v>-29</v>
      </c>
      <c r="F156" s="30">
        <v>-19</v>
      </c>
      <c r="G156" s="30">
        <v>-41</v>
      </c>
      <c r="H156" s="30">
        <v>6.9</v>
      </c>
      <c r="I156" s="30">
        <v>208</v>
      </c>
      <c r="J156" s="30">
        <v>-10.5</v>
      </c>
      <c r="K156" s="30">
        <v>270</v>
      </c>
      <c r="L156" s="30">
        <v>-7.1</v>
      </c>
      <c r="M156" s="30">
        <v>293</v>
      </c>
      <c r="N156" s="30">
        <v>-5.8</v>
      </c>
      <c r="O156" s="30">
        <v>72</v>
      </c>
      <c r="P156" s="30">
        <v>67</v>
      </c>
      <c r="Q156" s="30">
        <v>147</v>
      </c>
      <c r="R156" s="30" t="s">
        <v>165</v>
      </c>
      <c r="S156" s="30">
        <v>5.8</v>
      </c>
      <c r="T156" s="30">
        <v>5</v>
      </c>
      <c r="U156" s="34">
        <v>4</v>
      </c>
      <c r="V156" s="35">
        <v>5</v>
      </c>
      <c r="Y156" s="31" t="s">
        <v>564</v>
      </c>
      <c r="Z156" s="30">
        <v>-14.3</v>
      </c>
      <c r="AA156" s="30">
        <v>-14.1</v>
      </c>
      <c r="AB156" s="30">
        <v>-11.4</v>
      </c>
      <c r="AC156" s="30">
        <v>-6.4</v>
      </c>
      <c r="AD156" s="30">
        <v>1.8</v>
      </c>
      <c r="AE156" s="30">
        <v>8.5</v>
      </c>
      <c r="AF156" s="30">
        <v>12.1</v>
      </c>
      <c r="AG156" s="30">
        <v>12.2</v>
      </c>
      <c r="AH156" s="30">
        <v>7.9</v>
      </c>
      <c r="AI156" s="30">
        <v>-0.3</v>
      </c>
      <c r="AJ156" s="30">
        <v>-8.8000000000000007</v>
      </c>
      <c r="AK156" s="30">
        <v>-13.8</v>
      </c>
      <c r="AL156" s="30">
        <v>-2.2000000000000002</v>
      </c>
    </row>
    <row r="157" spans="1:38" x14ac:dyDescent="0.25">
      <c r="A157" s="31" t="s">
        <v>805</v>
      </c>
      <c r="B157" s="30">
        <v>-18</v>
      </c>
      <c r="C157" s="30">
        <v>-15</v>
      </c>
      <c r="D157" s="30">
        <v>-15</v>
      </c>
      <c r="E157" s="30">
        <v>-13</v>
      </c>
      <c r="F157" s="30">
        <v>-8</v>
      </c>
      <c r="G157" s="30">
        <v>-21</v>
      </c>
      <c r="H157" s="30">
        <v>3.2</v>
      </c>
      <c r="I157" s="30">
        <v>169</v>
      </c>
      <c r="J157" s="30">
        <v>-3.4</v>
      </c>
      <c r="K157" s="30">
        <v>297</v>
      </c>
      <c r="L157" s="30">
        <v>-0.2</v>
      </c>
      <c r="M157" s="30">
        <v>365</v>
      </c>
      <c r="N157" s="30">
        <v>1.6</v>
      </c>
      <c r="O157" s="30">
        <v>85</v>
      </c>
      <c r="P157" s="30">
        <v>82</v>
      </c>
      <c r="Q157" s="30">
        <v>404</v>
      </c>
      <c r="R157" s="30" t="s">
        <v>140</v>
      </c>
      <c r="S157" s="30">
        <v>11.9</v>
      </c>
      <c r="T157" s="30">
        <v>9.5</v>
      </c>
      <c r="U157" s="34">
        <v>4</v>
      </c>
      <c r="V157" s="35">
        <v>5</v>
      </c>
      <c r="Y157" s="31" t="s">
        <v>556</v>
      </c>
      <c r="Z157" s="30">
        <v>-8.5</v>
      </c>
      <c r="AA157" s="30">
        <v>-8.1999999999999993</v>
      </c>
      <c r="AB157" s="30">
        <v>-6.2</v>
      </c>
      <c r="AC157" s="30">
        <v>-1.6</v>
      </c>
      <c r="AD157" s="30">
        <v>2.6</v>
      </c>
      <c r="AE157" s="30">
        <v>6.6</v>
      </c>
      <c r="AF157" s="30">
        <v>10.7</v>
      </c>
      <c r="AG157" s="30">
        <v>11.7</v>
      </c>
      <c r="AH157" s="30">
        <v>8.6</v>
      </c>
      <c r="AI157" s="30">
        <v>2.8</v>
      </c>
      <c r="AJ157" s="30">
        <v>-3.3</v>
      </c>
      <c r="AK157" s="30">
        <v>-7.4</v>
      </c>
      <c r="AL157" s="30">
        <v>0.6</v>
      </c>
    </row>
    <row r="158" spans="1:38" x14ac:dyDescent="0.25">
      <c r="A158" s="31" t="s">
        <v>562</v>
      </c>
      <c r="B158" s="30">
        <v>-43</v>
      </c>
      <c r="C158" s="30">
        <v>-40</v>
      </c>
      <c r="D158" s="30">
        <v>-40</v>
      </c>
      <c r="E158" s="30">
        <v>-38</v>
      </c>
      <c r="F158" s="30">
        <v>-25</v>
      </c>
      <c r="G158" s="30">
        <v>-51</v>
      </c>
      <c r="H158" s="30">
        <v>12.8</v>
      </c>
      <c r="I158" s="30">
        <v>191</v>
      </c>
      <c r="J158" s="30">
        <v>-12.5</v>
      </c>
      <c r="K158" s="30">
        <v>256</v>
      </c>
      <c r="L158" s="30">
        <v>-8.3000000000000007</v>
      </c>
      <c r="M158" s="30">
        <v>276</v>
      </c>
      <c r="N158" s="30">
        <v>-7</v>
      </c>
      <c r="O158" s="30">
        <v>82</v>
      </c>
      <c r="P158" s="30">
        <v>80</v>
      </c>
      <c r="Q158" s="30">
        <v>291</v>
      </c>
      <c r="R158" s="30" t="s">
        <v>155</v>
      </c>
      <c r="S158" s="30" t="s">
        <v>41</v>
      </c>
      <c r="T158" s="30">
        <v>1.6</v>
      </c>
      <c r="U158" s="34">
        <v>4</v>
      </c>
      <c r="V158" s="35">
        <v>5</v>
      </c>
      <c r="Y158" s="31" t="s">
        <v>563</v>
      </c>
      <c r="Z158" s="30">
        <v>-4.7</v>
      </c>
      <c r="AA158" s="30">
        <v>-5.6</v>
      </c>
      <c r="AB158" s="30">
        <v>-4</v>
      </c>
      <c r="AC158" s="30">
        <v>-1.3</v>
      </c>
      <c r="AD158" s="30">
        <v>1.2</v>
      </c>
      <c r="AE158" s="30">
        <v>4.4000000000000004</v>
      </c>
      <c r="AF158" s="30">
        <v>7.6</v>
      </c>
      <c r="AG158" s="30">
        <v>9.5</v>
      </c>
      <c r="AH158" s="30">
        <v>8.6999999999999993</v>
      </c>
      <c r="AI158" s="30">
        <v>5.4</v>
      </c>
      <c r="AJ158" s="30">
        <v>0.4</v>
      </c>
      <c r="AK158" s="30">
        <v>-2.8</v>
      </c>
      <c r="AL158" s="30">
        <v>1.6</v>
      </c>
    </row>
    <row r="159" spans="1:38" x14ac:dyDescent="0.25">
      <c r="A159" s="31" t="s">
        <v>806</v>
      </c>
      <c r="B159" s="30">
        <v>-37</v>
      </c>
      <c r="C159" s="30">
        <v>-36</v>
      </c>
      <c r="D159" s="30">
        <v>-34</v>
      </c>
      <c r="E159" s="30">
        <v>-32</v>
      </c>
      <c r="F159" s="30">
        <v>-21</v>
      </c>
      <c r="G159" s="30">
        <v>-51</v>
      </c>
      <c r="H159" s="30">
        <v>15.2</v>
      </c>
      <c r="I159" s="30">
        <v>197</v>
      </c>
      <c r="J159" s="30">
        <v>-11.9</v>
      </c>
      <c r="K159" s="30">
        <v>275</v>
      </c>
      <c r="L159" s="30">
        <v>-7.4</v>
      </c>
      <c r="M159" s="30">
        <v>296</v>
      </c>
      <c r="N159" s="30">
        <v>-6.2</v>
      </c>
      <c r="O159" s="30">
        <v>81</v>
      </c>
      <c r="P159" s="30">
        <v>75</v>
      </c>
      <c r="Q159" s="30">
        <v>409</v>
      </c>
      <c r="R159" s="30" t="s">
        <v>140</v>
      </c>
      <c r="S159" s="30">
        <v>2.8</v>
      </c>
      <c r="T159" s="30">
        <v>2</v>
      </c>
      <c r="U159" s="34">
        <v>4</v>
      </c>
      <c r="V159" s="35">
        <v>5</v>
      </c>
      <c r="Y159" s="31" t="s">
        <v>562</v>
      </c>
      <c r="Z159" s="30">
        <v>-19.899999999999999</v>
      </c>
      <c r="AA159" s="30">
        <v>-17</v>
      </c>
      <c r="AB159" s="30">
        <v>-11.9</v>
      </c>
      <c r="AC159" s="30">
        <v>-2.5</v>
      </c>
      <c r="AD159" s="30">
        <v>5.2</v>
      </c>
      <c r="AE159" s="30">
        <v>11.6</v>
      </c>
      <c r="AF159" s="30">
        <v>15</v>
      </c>
      <c r="AG159" s="30">
        <v>13.6</v>
      </c>
      <c r="AH159" s="30">
        <v>8</v>
      </c>
      <c r="AI159" s="30">
        <v>0.3</v>
      </c>
      <c r="AJ159" s="30">
        <v>-10.9</v>
      </c>
      <c r="AK159" s="30">
        <v>-17.600000000000001</v>
      </c>
      <c r="AL159" s="30">
        <v>-2.1</v>
      </c>
    </row>
    <row r="160" spans="1:38" x14ac:dyDescent="0.25">
      <c r="A160" s="31" t="s">
        <v>807</v>
      </c>
      <c r="B160" s="30">
        <v>-15</v>
      </c>
      <c r="C160" s="30">
        <v>-13</v>
      </c>
      <c r="D160" s="30">
        <v>-12</v>
      </c>
      <c r="E160" s="30">
        <v>-11</v>
      </c>
      <c r="F160" s="30">
        <v>-7</v>
      </c>
      <c r="G160" s="30">
        <v>-24</v>
      </c>
      <c r="H160" s="30">
        <v>3.6</v>
      </c>
      <c r="I160" s="30">
        <v>156</v>
      </c>
      <c r="J160" s="30">
        <v>-2.5</v>
      </c>
      <c r="K160" s="30">
        <v>283</v>
      </c>
      <c r="L160" s="30">
        <v>0.4</v>
      </c>
      <c r="M160" s="30">
        <v>320</v>
      </c>
      <c r="N160" s="30">
        <v>1.4</v>
      </c>
      <c r="O160" s="30">
        <v>82</v>
      </c>
      <c r="P160" s="30">
        <v>82</v>
      </c>
      <c r="Q160" s="30">
        <v>302</v>
      </c>
      <c r="R160" s="30" t="s">
        <v>138</v>
      </c>
      <c r="S160" s="30">
        <v>8.6999999999999993</v>
      </c>
      <c r="T160" s="30">
        <v>7.2</v>
      </c>
      <c r="U160" s="34">
        <v>4</v>
      </c>
      <c r="V160" s="35">
        <v>5</v>
      </c>
      <c r="Y160" s="31" t="s">
        <v>561</v>
      </c>
      <c r="Z160" s="30">
        <v>-18.7</v>
      </c>
      <c r="AA160" s="30">
        <v>-16.2</v>
      </c>
      <c r="AB160" s="30">
        <v>-11</v>
      </c>
      <c r="AC160" s="30">
        <v>-3.5</v>
      </c>
      <c r="AD160" s="30">
        <v>2.2999999999999998</v>
      </c>
      <c r="AE160" s="30">
        <v>8.6</v>
      </c>
      <c r="AF160" s="30">
        <v>12.4</v>
      </c>
      <c r="AG160" s="30">
        <v>11.9</v>
      </c>
      <c r="AH160" s="30">
        <v>7.2</v>
      </c>
      <c r="AI160" s="30">
        <v>1.1000000000000001</v>
      </c>
      <c r="AJ160" s="30">
        <v>-8.6</v>
      </c>
      <c r="AK160" s="30">
        <v>-16.7</v>
      </c>
      <c r="AL160" s="30">
        <v>-2.6</v>
      </c>
    </row>
    <row r="161" spans="1:38" x14ac:dyDescent="0.25">
      <c r="A161" s="31" t="s">
        <v>808</v>
      </c>
      <c r="B161" s="30">
        <v>-35</v>
      </c>
      <c r="C161" s="30">
        <v>-34</v>
      </c>
      <c r="D161" s="30">
        <v>-32</v>
      </c>
      <c r="E161" s="30">
        <v>-31</v>
      </c>
      <c r="F161" s="30">
        <v>-19</v>
      </c>
      <c r="G161" s="30">
        <v>-41</v>
      </c>
      <c r="H161" s="30">
        <v>8.9</v>
      </c>
      <c r="I161" s="30">
        <v>206</v>
      </c>
      <c r="J161" s="30">
        <v>-10.1</v>
      </c>
      <c r="K161" s="30">
        <v>272</v>
      </c>
      <c r="L161" s="30">
        <v>-6.6</v>
      </c>
      <c r="M161" s="30">
        <v>294</v>
      </c>
      <c r="N161" s="30">
        <v>-5.5</v>
      </c>
      <c r="O161" s="30">
        <v>78</v>
      </c>
      <c r="P161" s="30">
        <v>74</v>
      </c>
      <c r="Q161" s="30">
        <v>401</v>
      </c>
      <c r="R161" s="30" t="s">
        <v>165</v>
      </c>
      <c r="S161" s="30" t="s">
        <v>41</v>
      </c>
      <c r="T161" s="30" t="s">
        <v>41</v>
      </c>
      <c r="U161" s="34">
        <v>4</v>
      </c>
      <c r="V161" s="35">
        <v>5</v>
      </c>
      <c r="Y161" s="31" t="s">
        <v>560</v>
      </c>
      <c r="Z161" s="30">
        <v>-3.3</v>
      </c>
      <c r="AA161" s="30">
        <v>-3.5</v>
      </c>
      <c r="AB161" s="30">
        <v>-2.5</v>
      </c>
      <c r="AC161" s="30">
        <v>-0.5</v>
      </c>
      <c r="AD161" s="30">
        <v>2.2999999999999998</v>
      </c>
      <c r="AE161" s="30">
        <v>5.6</v>
      </c>
      <c r="AF161" s="30">
        <v>8.9</v>
      </c>
      <c r="AG161" s="30">
        <v>10.8</v>
      </c>
      <c r="AH161" s="30">
        <v>9.4</v>
      </c>
      <c r="AI161" s="30">
        <v>5.3</v>
      </c>
      <c r="AJ161" s="30">
        <v>0.7</v>
      </c>
      <c r="AK161" s="30">
        <v>-2.2000000000000002</v>
      </c>
      <c r="AL161" s="30">
        <v>2.6</v>
      </c>
    </row>
    <row r="162" spans="1:38" ht="25.5" x14ac:dyDescent="0.25">
      <c r="A162" s="31" t="s">
        <v>809</v>
      </c>
      <c r="B162" s="30">
        <v>-22</v>
      </c>
      <c r="C162" s="30">
        <v>-20</v>
      </c>
      <c r="D162" s="30">
        <v>-19</v>
      </c>
      <c r="E162" s="30">
        <v>-18</v>
      </c>
      <c r="F162" s="30">
        <v>-10</v>
      </c>
      <c r="G162" s="30">
        <v>-32</v>
      </c>
      <c r="H162" s="30">
        <v>5.3</v>
      </c>
      <c r="I162" s="30">
        <v>160</v>
      </c>
      <c r="J162" s="30">
        <v>-4.8</v>
      </c>
      <c r="K162" s="30">
        <v>250</v>
      </c>
      <c r="L162" s="30">
        <v>-1.7</v>
      </c>
      <c r="M162" s="30">
        <v>277</v>
      </c>
      <c r="N162" s="30">
        <v>-0.6</v>
      </c>
      <c r="O162" s="30">
        <v>67</v>
      </c>
      <c r="P162" s="30">
        <v>64</v>
      </c>
      <c r="Q162" s="30">
        <v>863</v>
      </c>
      <c r="R162" s="30" t="s">
        <v>165</v>
      </c>
      <c r="S162" s="30">
        <v>5</v>
      </c>
      <c r="T162" s="30">
        <v>4.8</v>
      </c>
      <c r="U162" s="34">
        <v>4</v>
      </c>
      <c r="V162" s="35">
        <v>5</v>
      </c>
      <c r="Y162" s="31" t="s">
        <v>559</v>
      </c>
      <c r="Z162" s="30">
        <v>-14.5</v>
      </c>
      <c r="AA162" s="30">
        <v>-14.1</v>
      </c>
      <c r="AB162" s="30">
        <v>-11.4</v>
      </c>
      <c r="AC162" s="30">
        <v>-6.1</v>
      </c>
      <c r="AD162" s="30">
        <v>1</v>
      </c>
      <c r="AE162" s="30">
        <v>7.9</v>
      </c>
      <c r="AF162" s="30">
        <v>12.2</v>
      </c>
      <c r="AG162" s="30">
        <v>12.3</v>
      </c>
      <c r="AH162" s="30">
        <v>8.1999999999999993</v>
      </c>
      <c r="AI162" s="30">
        <v>1.2</v>
      </c>
      <c r="AJ162" s="30">
        <v>-7</v>
      </c>
      <c r="AK162" s="30">
        <v>-12.9</v>
      </c>
      <c r="AL162" s="30">
        <v>-1.9</v>
      </c>
    </row>
    <row r="163" spans="1:38" ht="25.5" x14ac:dyDescent="0.25">
      <c r="A163" s="31" t="s">
        <v>810</v>
      </c>
      <c r="B163" s="30">
        <v>-19</v>
      </c>
      <c r="C163" s="30">
        <v>-18</v>
      </c>
      <c r="D163" s="30">
        <v>-16</v>
      </c>
      <c r="E163" s="30">
        <v>-15</v>
      </c>
      <c r="F163" s="30">
        <v>-9</v>
      </c>
      <c r="G163" s="30">
        <v>-25</v>
      </c>
      <c r="H163" s="30">
        <v>4.3</v>
      </c>
      <c r="I163" s="30">
        <v>167</v>
      </c>
      <c r="J163" s="30">
        <v>-4.5</v>
      </c>
      <c r="K163" s="30">
        <v>260</v>
      </c>
      <c r="L163" s="30">
        <v>-1.5</v>
      </c>
      <c r="M163" s="30">
        <v>289</v>
      </c>
      <c r="N163" s="30">
        <v>-0.4</v>
      </c>
      <c r="O163" s="30">
        <v>67</v>
      </c>
      <c r="P163" s="30">
        <v>66</v>
      </c>
      <c r="Q163" s="30">
        <v>541</v>
      </c>
      <c r="R163" s="30" t="s">
        <v>140</v>
      </c>
      <c r="S163" s="30">
        <v>7.5</v>
      </c>
      <c r="T163" s="30">
        <v>5.8</v>
      </c>
      <c r="U163" s="34">
        <v>4</v>
      </c>
      <c r="V163" s="35">
        <v>5</v>
      </c>
      <c r="Y163" s="31" t="s">
        <v>558</v>
      </c>
      <c r="Z163" s="30">
        <v>-7</v>
      </c>
      <c r="AA163" s="30">
        <v>-6.6</v>
      </c>
      <c r="AB163" s="30">
        <v>-4</v>
      </c>
      <c r="AC163" s="30">
        <v>0.1</v>
      </c>
      <c r="AD163" s="30">
        <v>4.4000000000000004</v>
      </c>
      <c r="AE163" s="30">
        <v>9.1999999999999993</v>
      </c>
      <c r="AF163" s="30">
        <v>12.5</v>
      </c>
      <c r="AG163" s="30">
        <v>13.2</v>
      </c>
      <c r="AH163" s="30">
        <v>10.3</v>
      </c>
      <c r="AI163" s="30">
        <v>5.2</v>
      </c>
      <c r="AJ163" s="30">
        <v>-1.1000000000000001</v>
      </c>
      <c r="AK163" s="30">
        <v>-5.2</v>
      </c>
      <c r="AL163" s="30">
        <v>2.6</v>
      </c>
    </row>
    <row r="164" spans="1:38" x14ac:dyDescent="0.25">
      <c r="A164" s="31" t="s">
        <v>811</v>
      </c>
      <c r="B164" s="30">
        <v>-36</v>
      </c>
      <c r="C164" s="30">
        <v>-34</v>
      </c>
      <c r="D164" s="30">
        <v>-33</v>
      </c>
      <c r="E164" s="30">
        <v>-30</v>
      </c>
      <c r="F164" s="30">
        <v>-17</v>
      </c>
      <c r="G164" s="30">
        <v>-45</v>
      </c>
      <c r="H164" s="30">
        <v>12.2</v>
      </c>
      <c r="I164" s="30">
        <v>185</v>
      </c>
      <c r="J164" s="30">
        <v>-9.3000000000000007</v>
      </c>
      <c r="K164" s="30">
        <v>268</v>
      </c>
      <c r="L164" s="30">
        <v>-5.0999999999999996</v>
      </c>
      <c r="M164" s="30">
        <v>297</v>
      </c>
      <c r="N164" s="30">
        <v>-3.7</v>
      </c>
      <c r="O164" s="30">
        <v>80</v>
      </c>
      <c r="P164" s="30">
        <v>75</v>
      </c>
      <c r="Q164" s="30">
        <v>331</v>
      </c>
      <c r="R164" s="30" t="s">
        <v>138</v>
      </c>
      <c r="S164" s="30">
        <v>2.9</v>
      </c>
      <c r="T164" s="30">
        <v>3.2</v>
      </c>
      <c r="U164" s="34">
        <v>4</v>
      </c>
      <c r="V164" s="35">
        <v>5</v>
      </c>
      <c r="Y164" s="31" t="s">
        <v>557</v>
      </c>
      <c r="Z164" s="30">
        <v>-6.3</v>
      </c>
      <c r="AA164" s="30">
        <v>-5.9</v>
      </c>
      <c r="AB164" s="30">
        <v>-4.4000000000000004</v>
      </c>
      <c r="AC164" s="30">
        <v>-0.8</v>
      </c>
      <c r="AD164" s="30">
        <v>3.3</v>
      </c>
      <c r="AE164" s="30">
        <v>7.9</v>
      </c>
      <c r="AF164" s="30">
        <v>11.4</v>
      </c>
      <c r="AG164" s="30">
        <v>12.8</v>
      </c>
      <c r="AH164" s="30">
        <v>10.1</v>
      </c>
      <c r="AI164" s="30">
        <v>5.0999999999999996</v>
      </c>
      <c r="AJ164" s="30">
        <v>-1.3</v>
      </c>
      <c r="AK164" s="30">
        <v>-5</v>
      </c>
      <c r="AL164" s="30">
        <v>2.2000000000000002</v>
      </c>
    </row>
    <row r="165" spans="1:38" x14ac:dyDescent="0.25">
      <c r="A165" s="31" t="s">
        <v>556</v>
      </c>
      <c r="B165" s="30">
        <v>-26</v>
      </c>
      <c r="C165" s="30">
        <v>-22</v>
      </c>
      <c r="D165" s="30">
        <v>-23</v>
      </c>
      <c r="E165" s="30">
        <v>-20</v>
      </c>
      <c r="F165" s="30">
        <v>-13</v>
      </c>
      <c r="G165" s="30">
        <v>-36</v>
      </c>
      <c r="H165" s="30">
        <v>7.3</v>
      </c>
      <c r="I165" s="30">
        <v>179</v>
      </c>
      <c r="J165" s="30">
        <v>-5.7</v>
      </c>
      <c r="K165" s="30">
        <v>280</v>
      </c>
      <c r="L165" s="30">
        <v>-2.2000000000000002</v>
      </c>
      <c r="M165" s="30">
        <v>312</v>
      </c>
      <c r="N165" s="30">
        <v>-1.1000000000000001</v>
      </c>
      <c r="O165" s="30">
        <v>69</v>
      </c>
      <c r="P165" s="30">
        <v>64</v>
      </c>
      <c r="Q165" s="30">
        <v>865</v>
      </c>
      <c r="R165" s="30" t="s">
        <v>165</v>
      </c>
      <c r="S165" s="30" t="s">
        <v>41</v>
      </c>
      <c r="T165" s="30" t="s">
        <v>41</v>
      </c>
      <c r="U165" s="34">
        <v>4</v>
      </c>
      <c r="V165" s="35">
        <v>5</v>
      </c>
      <c r="Y165" s="31" t="s">
        <v>555</v>
      </c>
      <c r="Z165" s="30">
        <v>-13.9</v>
      </c>
      <c r="AA165" s="30">
        <v>-13.3</v>
      </c>
      <c r="AB165" s="30">
        <v>-9</v>
      </c>
      <c r="AC165" s="30">
        <v>-2.7</v>
      </c>
      <c r="AD165" s="30">
        <v>3</v>
      </c>
      <c r="AE165" s="30">
        <v>8.1</v>
      </c>
      <c r="AF165" s="30">
        <v>11.7</v>
      </c>
      <c r="AG165" s="30">
        <v>12.2</v>
      </c>
      <c r="AH165" s="30">
        <v>8.6</v>
      </c>
      <c r="AI165" s="30">
        <v>3.2</v>
      </c>
      <c r="AJ165" s="30">
        <v>-4.9000000000000004</v>
      </c>
      <c r="AK165" s="30">
        <v>-11.1</v>
      </c>
      <c r="AL165" s="30">
        <v>-0.7</v>
      </c>
    </row>
    <row r="166" spans="1:38" x14ac:dyDescent="0.25">
      <c r="A166" s="31" t="s">
        <v>554</v>
      </c>
      <c r="B166" s="30">
        <v>-39</v>
      </c>
      <c r="C166" s="30">
        <v>-37</v>
      </c>
      <c r="D166" s="30">
        <v>-36</v>
      </c>
      <c r="E166" s="30">
        <v>-34</v>
      </c>
      <c r="F166" s="30">
        <v>-21</v>
      </c>
      <c r="G166" s="30">
        <v>-43</v>
      </c>
      <c r="H166" s="30">
        <v>9.6</v>
      </c>
      <c r="I166" s="30">
        <v>210</v>
      </c>
      <c r="J166" s="30">
        <v>-10.3</v>
      </c>
      <c r="K166" s="30">
        <v>281</v>
      </c>
      <c r="L166" s="30">
        <v>-6.7</v>
      </c>
      <c r="M166" s="30">
        <v>305</v>
      </c>
      <c r="N166" s="30">
        <v>-5.5</v>
      </c>
      <c r="O166" s="30">
        <v>82</v>
      </c>
      <c r="P166" s="30">
        <v>81</v>
      </c>
      <c r="Q166" s="30">
        <v>407</v>
      </c>
      <c r="R166" s="30" t="s">
        <v>165</v>
      </c>
      <c r="S166" s="30">
        <v>9.1999999999999993</v>
      </c>
      <c r="T166" s="30" t="s">
        <v>41</v>
      </c>
      <c r="U166" s="34">
        <v>4</v>
      </c>
      <c r="V166" s="35">
        <v>5</v>
      </c>
      <c r="Y166" s="31" t="s">
        <v>554</v>
      </c>
      <c r="Z166" s="30">
        <v>-15.8</v>
      </c>
      <c r="AA166" s="30">
        <v>-16.3</v>
      </c>
      <c r="AB166" s="30">
        <v>-13.5</v>
      </c>
      <c r="AC166" s="30">
        <v>-6.2</v>
      </c>
      <c r="AD166" s="30">
        <v>-0.1</v>
      </c>
      <c r="AE166" s="30">
        <v>6.3</v>
      </c>
      <c r="AF166" s="30">
        <v>12.2</v>
      </c>
      <c r="AG166" s="30">
        <v>12.6</v>
      </c>
      <c r="AH166" s="30">
        <v>8.1</v>
      </c>
      <c r="AI166" s="30">
        <v>0.7</v>
      </c>
      <c r="AJ166" s="30">
        <v>-7.1</v>
      </c>
      <c r="AK166" s="30">
        <v>-13.2</v>
      </c>
      <c r="AL166" s="30">
        <v>-2.7</v>
      </c>
    </row>
    <row r="167" spans="1:38" x14ac:dyDescent="0.25">
      <c r="A167" s="31" t="s">
        <v>553</v>
      </c>
      <c r="B167" s="30">
        <v>-32</v>
      </c>
      <c r="C167" s="30">
        <v>-30</v>
      </c>
      <c r="D167" s="30">
        <v>-28</v>
      </c>
      <c r="E167" s="30">
        <v>-25</v>
      </c>
      <c r="F167" s="30">
        <v>-18</v>
      </c>
      <c r="G167" s="30">
        <v>-42</v>
      </c>
      <c r="H167" s="30">
        <v>9.1999999999999993</v>
      </c>
      <c r="I167" s="30">
        <v>180</v>
      </c>
      <c r="J167" s="30">
        <v>-7.8</v>
      </c>
      <c r="K167" s="30">
        <v>281</v>
      </c>
      <c r="L167" s="30">
        <v>-3.5</v>
      </c>
      <c r="M167" s="30">
        <v>318</v>
      </c>
      <c r="N167" s="30">
        <v>-2</v>
      </c>
      <c r="O167" s="30">
        <v>81</v>
      </c>
      <c r="P167" s="30">
        <v>79</v>
      </c>
      <c r="Q167" s="30" t="s">
        <v>41</v>
      </c>
      <c r="R167" s="30" t="s">
        <v>138</v>
      </c>
      <c r="S167" s="30">
        <v>6.4</v>
      </c>
      <c r="T167" s="30">
        <v>6.8</v>
      </c>
      <c r="U167" s="34">
        <v>4</v>
      </c>
      <c r="V167" s="35">
        <v>5</v>
      </c>
      <c r="Y167" s="31" t="s">
        <v>553</v>
      </c>
      <c r="Z167" s="30">
        <v>-12.1</v>
      </c>
      <c r="AA167" s="30">
        <v>-12.6</v>
      </c>
      <c r="AB167" s="30">
        <v>-8.6999999999999993</v>
      </c>
      <c r="AC167" s="30">
        <v>-2.5</v>
      </c>
      <c r="AD167" s="30">
        <v>2.1</v>
      </c>
      <c r="AE167" s="30">
        <v>6.1</v>
      </c>
      <c r="AF167" s="30">
        <v>9.8000000000000007</v>
      </c>
      <c r="AG167" s="30">
        <v>11.4</v>
      </c>
      <c r="AH167" s="30">
        <v>9.3000000000000007</v>
      </c>
      <c r="AI167" s="30">
        <v>4.0999999999999996</v>
      </c>
      <c r="AJ167" s="30">
        <v>-3</v>
      </c>
      <c r="AK167" s="30">
        <v>-9</v>
      </c>
      <c r="AL167" s="30">
        <v>-0.4</v>
      </c>
    </row>
    <row r="168" spans="1:38" ht="25.5" x14ac:dyDescent="0.25">
      <c r="A168" s="31" t="s">
        <v>812</v>
      </c>
      <c r="B168" s="30">
        <v>-41</v>
      </c>
      <c r="C168" s="30">
        <v>-38</v>
      </c>
      <c r="D168" s="30">
        <v>-36</v>
      </c>
      <c r="E168" s="30">
        <v>-34</v>
      </c>
      <c r="F168" s="30">
        <v>-20</v>
      </c>
      <c r="G168" s="30">
        <v>-45</v>
      </c>
      <c r="H168" s="30">
        <v>9.4</v>
      </c>
      <c r="I168" s="30">
        <v>201</v>
      </c>
      <c r="J168" s="30">
        <v>-11.5</v>
      </c>
      <c r="K168" s="30">
        <v>286</v>
      </c>
      <c r="L168" s="30">
        <v>-6.8</v>
      </c>
      <c r="M168" s="30">
        <v>319</v>
      </c>
      <c r="N168" s="30">
        <v>-5.2</v>
      </c>
      <c r="O168" s="30">
        <v>84</v>
      </c>
      <c r="P168" s="30">
        <v>85</v>
      </c>
      <c r="Q168" s="30">
        <v>117</v>
      </c>
      <c r="R168" s="30" t="s">
        <v>185</v>
      </c>
      <c r="S168" s="30">
        <v>3.9</v>
      </c>
      <c r="T168" s="30">
        <v>4.4000000000000004</v>
      </c>
      <c r="U168" s="34">
        <v>4</v>
      </c>
      <c r="V168" s="35">
        <v>5</v>
      </c>
      <c r="Y168" s="31" t="s">
        <v>552</v>
      </c>
      <c r="Z168" s="30">
        <v>-17.5</v>
      </c>
      <c r="AA168" s="30">
        <v>-16.5</v>
      </c>
      <c r="AB168" s="30">
        <v>-12.9</v>
      </c>
      <c r="AC168" s="30">
        <v>-5.6</v>
      </c>
      <c r="AD168" s="30">
        <v>1.4</v>
      </c>
      <c r="AE168" s="30">
        <v>6.7</v>
      </c>
      <c r="AF168" s="30">
        <v>10.199999999999999</v>
      </c>
      <c r="AG168" s="30">
        <v>10.7</v>
      </c>
      <c r="AH168" s="30">
        <v>7.4</v>
      </c>
      <c r="AI168" s="30">
        <v>1.2</v>
      </c>
      <c r="AJ168" s="30">
        <v>-7.1</v>
      </c>
      <c r="AK168" s="30">
        <v>-14.2</v>
      </c>
      <c r="AL168" s="30">
        <v>-3</v>
      </c>
    </row>
    <row r="169" spans="1:38" x14ac:dyDescent="0.25">
      <c r="A169" s="31" t="s">
        <v>551</v>
      </c>
      <c r="B169" s="30">
        <v>-37</v>
      </c>
      <c r="C169" s="30">
        <v>-33</v>
      </c>
      <c r="D169" s="30">
        <v>-30</v>
      </c>
      <c r="E169" s="30">
        <v>-28</v>
      </c>
      <c r="F169" s="30">
        <v>-16</v>
      </c>
      <c r="G169" s="30">
        <v>-42</v>
      </c>
      <c r="H169" s="30">
        <v>8.3000000000000007</v>
      </c>
      <c r="I169" s="30">
        <v>192</v>
      </c>
      <c r="J169" s="30">
        <v>-7.6</v>
      </c>
      <c r="K169" s="30">
        <v>277</v>
      </c>
      <c r="L169" s="30">
        <v>-4</v>
      </c>
      <c r="M169" s="30">
        <v>305</v>
      </c>
      <c r="N169" s="30">
        <v>-2.8</v>
      </c>
      <c r="O169" s="30">
        <v>81</v>
      </c>
      <c r="P169" s="30">
        <v>80</v>
      </c>
      <c r="Q169" s="30">
        <v>664</v>
      </c>
      <c r="R169" s="30" t="s">
        <v>140</v>
      </c>
      <c r="S169" s="30">
        <v>7.1</v>
      </c>
      <c r="T169" s="30">
        <v>4.9000000000000004</v>
      </c>
      <c r="U169" s="34">
        <v>4</v>
      </c>
      <c r="V169" s="35">
        <v>5</v>
      </c>
      <c r="Y169" s="31" t="s">
        <v>551</v>
      </c>
      <c r="Z169" s="30">
        <v>-11.4</v>
      </c>
      <c r="AA169" s="30">
        <v>-11.2</v>
      </c>
      <c r="AB169" s="30">
        <v>-9</v>
      </c>
      <c r="AC169" s="30">
        <v>-3.6</v>
      </c>
      <c r="AD169" s="30">
        <v>1.6</v>
      </c>
      <c r="AE169" s="30">
        <v>6.8</v>
      </c>
      <c r="AF169" s="30">
        <v>11.2</v>
      </c>
      <c r="AG169" s="30">
        <v>12.2</v>
      </c>
      <c r="AH169" s="30">
        <v>9</v>
      </c>
      <c r="AI169" s="30">
        <v>2.6</v>
      </c>
      <c r="AJ169" s="30">
        <v>-4.7</v>
      </c>
      <c r="AK169" s="30">
        <v>-9.6999999999999993</v>
      </c>
      <c r="AL169" s="30">
        <v>-0.5</v>
      </c>
    </row>
    <row r="170" spans="1:38" x14ac:dyDescent="0.25">
      <c r="A170" s="31" t="s">
        <v>813</v>
      </c>
      <c r="B170" s="30">
        <v>-38</v>
      </c>
      <c r="C170" s="30">
        <v>-34</v>
      </c>
      <c r="D170" s="30">
        <v>-33</v>
      </c>
      <c r="E170" s="30">
        <v>-30</v>
      </c>
      <c r="F170" s="30">
        <v>-17</v>
      </c>
      <c r="G170" s="30">
        <v>-42</v>
      </c>
      <c r="H170" s="30">
        <v>8.9</v>
      </c>
      <c r="I170" s="30">
        <v>189</v>
      </c>
      <c r="J170" s="30">
        <v>-9.5</v>
      </c>
      <c r="K170" s="30">
        <v>273</v>
      </c>
      <c r="L170" s="30">
        <v>-5.2</v>
      </c>
      <c r="M170" s="30">
        <v>299</v>
      </c>
      <c r="N170" s="30">
        <v>-4</v>
      </c>
      <c r="O170" s="30">
        <v>80</v>
      </c>
      <c r="P170" s="30">
        <v>80</v>
      </c>
      <c r="Q170" s="30">
        <v>162</v>
      </c>
      <c r="R170" s="30" t="s">
        <v>185</v>
      </c>
      <c r="S170" s="30">
        <v>5.5</v>
      </c>
      <c r="T170" s="30">
        <v>4.4000000000000004</v>
      </c>
      <c r="U170" s="34">
        <v>4</v>
      </c>
      <c r="V170" s="35">
        <v>5</v>
      </c>
      <c r="Y170" s="31" t="s">
        <v>550</v>
      </c>
      <c r="Z170" s="30">
        <v>-14.1</v>
      </c>
      <c r="AA170" s="30">
        <v>-13.6</v>
      </c>
      <c r="AB170" s="30">
        <v>-9.9</v>
      </c>
      <c r="AC170" s="30">
        <v>-3.5</v>
      </c>
      <c r="AD170" s="30">
        <v>2.8</v>
      </c>
      <c r="AE170" s="30">
        <v>7.9</v>
      </c>
      <c r="AF170" s="30">
        <v>11.6</v>
      </c>
      <c r="AG170" s="30">
        <v>12.1</v>
      </c>
      <c r="AH170" s="30">
        <v>8.3000000000000007</v>
      </c>
      <c r="AI170" s="30">
        <v>2.6</v>
      </c>
      <c r="AJ170" s="30">
        <v>-5.0999999999999996</v>
      </c>
      <c r="AK170" s="30">
        <v>-11.2</v>
      </c>
      <c r="AL170" s="30">
        <v>-1</v>
      </c>
    </row>
    <row r="171" spans="1:38" ht="38.25" x14ac:dyDescent="0.25">
      <c r="A171" s="33" t="s">
        <v>549</v>
      </c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34"/>
      <c r="Y171" s="33" t="s">
        <v>549</v>
      </c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</row>
    <row r="172" spans="1:38" x14ac:dyDescent="0.25">
      <c r="A172" s="31" t="s">
        <v>548</v>
      </c>
      <c r="B172" s="30">
        <v>-23</v>
      </c>
      <c r="C172" s="30">
        <v>-21</v>
      </c>
      <c r="D172" s="30">
        <v>-20</v>
      </c>
      <c r="E172" s="30">
        <v>-18</v>
      </c>
      <c r="F172" s="30">
        <v>-9</v>
      </c>
      <c r="G172" s="30">
        <v>-29</v>
      </c>
      <c r="H172" s="30">
        <v>8.3000000000000007</v>
      </c>
      <c r="I172" s="30">
        <v>85</v>
      </c>
      <c r="J172" s="30">
        <v>-2.5</v>
      </c>
      <c r="K172" s="30">
        <v>169</v>
      </c>
      <c r="L172" s="30">
        <v>0.6</v>
      </c>
      <c r="M172" s="30">
        <v>189</v>
      </c>
      <c r="N172" s="30">
        <v>1.5</v>
      </c>
      <c r="O172" s="30">
        <v>81</v>
      </c>
      <c r="P172" s="30">
        <v>73</v>
      </c>
      <c r="Q172" s="30">
        <v>119</v>
      </c>
      <c r="R172" s="30" t="s">
        <v>146</v>
      </c>
      <c r="S172" s="30" t="s">
        <v>41</v>
      </c>
      <c r="T172" s="30">
        <v>3.2</v>
      </c>
      <c r="U172" s="34">
        <v>0</v>
      </c>
      <c r="V172" s="29" t="s">
        <v>246</v>
      </c>
      <c r="Y172" s="31" t="s">
        <v>548</v>
      </c>
      <c r="Z172" s="30">
        <v>-4.4000000000000004</v>
      </c>
      <c r="AA172" s="30">
        <v>-2.2999999999999998</v>
      </c>
      <c r="AB172" s="30">
        <v>1.5</v>
      </c>
      <c r="AC172" s="30">
        <v>9</v>
      </c>
      <c r="AD172" s="30">
        <v>14.8</v>
      </c>
      <c r="AE172" s="30">
        <v>18.3</v>
      </c>
      <c r="AF172" s="30">
        <v>21.1</v>
      </c>
      <c r="AG172" s="30">
        <v>20.6</v>
      </c>
      <c r="AH172" s="30">
        <v>15.7</v>
      </c>
      <c r="AI172" s="30">
        <v>9.6</v>
      </c>
      <c r="AJ172" s="30">
        <v>3.7</v>
      </c>
      <c r="AK172" s="30">
        <v>-1.1000000000000001</v>
      </c>
      <c r="AL172" s="30">
        <v>8.8000000000000007</v>
      </c>
    </row>
    <row r="173" spans="1:38" x14ac:dyDescent="0.25">
      <c r="A173" s="33" t="s">
        <v>547</v>
      </c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34"/>
      <c r="Y173" s="33" t="s">
        <v>546</v>
      </c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</row>
    <row r="174" spans="1:38" x14ac:dyDescent="0.25">
      <c r="A174" s="31" t="s">
        <v>814</v>
      </c>
      <c r="B174" s="30">
        <v>-34</v>
      </c>
      <c r="C174" s="30">
        <v>-33</v>
      </c>
      <c r="D174" s="30">
        <v>-31</v>
      </c>
      <c r="E174" s="30">
        <v>-28</v>
      </c>
      <c r="F174" s="30">
        <v>-14</v>
      </c>
      <c r="G174" s="30">
        <v>-40</v>
      </c>
      <c r="H174" s="30">
        <v>7.2</v>
      </c>
      <c r="I174" s="30">
        <v>176</v>
      </c>
      <c r="J174" s="30">
        <v>-6.9</v>
      </c>
      <c r="K174" s="30">
        <v>255</v>
      </c>
      <c r="L174" s="30">
        <v>-3.5</v>
      </c>
      <c r="M174" s="30">
        <v>277</v>
      </c>
      <c r="N174" s="30">
        <v>-2.5</v>
      </c>
      <c r="O174" s="30">
        <v>85</v>
      </c>
      <c r="P174" s="30">
        <v>82</v>
      </c>
      <c r="Q174" s="30">
        <v>125</v>
      </c>
      <c r="R174" s="30" t="s">
        <v>142</v>
      </c>
      <c r="S174" s="30">
        <v>4.7</v>
      </c>
      <c r="T174" s="30">
        <v>4.5</v>
      </c>
      <c r="U174" s="34">
        <v>0</v>
      </c>
      <c r="V174" s="35">
        <v>5</v>
      </c>
      <c r="Y174" s="31" t="s">
        <v>545</v>
      </c>
      <c r="Z174" s="30">
        <v>-10.9</v>
      </c>
      <c r="AA174" s="30">
        <v>-10.5</v>
      </c>
      <c r="AB174" s="30">
        <v>-5.5</v>
      </c>
      <c r="AC174" s="30">
        <v>-0.7</v>
      </c>
      <c r="AD174" s="30">
        <v>4.9000000000000004</v>
      </c>
      <c r="AE174" s="30">
        <v>10.9</v>
      </c>
      <c r="AF174" s="30">
        <v>14.3</v>
      </c>
      <c r="AG174" s="30">
        <v>12.9</v>
      </c>
      <c r="AH174" s="30">
        <v>8.5</v>
      </c>
      <c r="AI174" s="30">
        <v>2.5</v>
      </c>
      <c r="AJ174" s="30">
        <v>-3.2</v>
      </c>
      <c r="AK174" s="30">
        <v>-7.6</v>
      </c>
      <c r="AL174" s="30">
        <v>1.3</v>
      </c>
    </row>
    <row r="175" spans="1:38" x14ac:dyDescent="0.25">
      <c r="A175" s="31" t="s">
        <v>544</v>
      </c>
      <c r="B175" s="30">
        <v>-38</v>
      </c>
      <c r="C175" s="30">
        <v>-36</v>
      </c>
      <c r="D175" s="30">
        <v>-34</v>
      </c>
      <c r="E175" s="30">
        <v>-31</v>
      </c>
      <c r="F175" s="30">
        <v>-17</v>
      </c>
      <c r="G175" s="30">
        <v>-47</v>
      </c>
      <c r="H175" s="30">
        <v>8.6999999999999993</v>
      </c>
      <c r="I175" s="30">
        <v>184</v>
      </c>
      <c r="J175" s="30">
        <v>-7.6</v>
      </c>
      <c r="K175" s="30">
        <v>261</v>
      </c>
      <c r="L175" s="30">
        <v>-4.2</v>
      </c>
      <c r="M175" s="30">
        <v>281</v>
      </c>
      <c r="N175" s="30">
        <v>-3.2</v>
      </c>
      <c r="O175" s="30">
        <v>86</v>
      </c>
      <c r="P175" s="30">
        <v>86</v>
      </c>
      <c r="Q175" s="30">
        <v>159</v>
      </c>
      <c r="R175" s="30" t="s">
        <v>155</v>
      </c>
      <c r="S175" s="30" t="s">
        <v>41</v>
      </c>
      <c r="T175" s="30">
        <v>3.1</v>
      </c>
      <c r="U175" s="34">
        <v>0</v>
      </c>
      <c r="V175" s="35">
        <v>5</v>
      </c>
      <c r="Y175" s="31" t="s">
        <v>544</v>
      </c>
      <c r="Z175" s="30">
        <v>-12.1</v>
      </c>
      <c r="AA175" s="30">
        <v>-12.4</v>
      </c>
      <c r="AB175" s="30">
        <v>-8.3000000000000007</v>
      </c>
      <c r="AC175" s="30">
        <v>-1.7</v>
      </c>
      <c r="AD175" s="30">
        <v>4.7</v>
      </c>
      <c r="AE175" s="30">
        <v>11.6</v>
      </c>
      <c r="AF175" s="30">
        <v>14.8</v>
      </c>
      <c r="AG175" s="30">
        <v>12.8</v>
      </c>
      <c r="AH175" s="30">
        <v>7.2</v>
      </c>
      <c r="AI175" s="30">
        <v>1</v>
      </c>
      <c r="AJ175" s="30">
        <v>-4.4000000000000004</v>
      </c>
      <c r="AK175" s="30">
        <v>-8.5</v>
      </c>
      <c r="AL175" s="30">
        <v>0.4</v>
      </c>
    </row>
    <row r="176" spans="1:38" x14ac:dyDescent="0.25">
      <c r="A176" s="31" t="s">
        <v>543</v>
      </c>
      <c r="B176" s="30">
        <v>-38</v>
      </c>
      <c r="C176" s="30">
        <v>-35</v>
      </c>
      <c r="D176" s="30">
        <v>-34</v>
      </c>
      <c r="E176" s="30">
        <v>-29</v>
      </c>
      <c r="F176" s="30">
        <v>-15</v>
      </c>
      <c r="G176" s="30">
        <v>-54</v>
      </c>
      <c r="H176" s="30">
        <v>8.4</v>
      </c>
      <c r="I176" s="30">
        <v>156</v>
      </c>
      <c r="J176" s="30">
        <v>-6.7</v>
      </c>
      <c r="K176" s="30">
        <v>233</v>
      </c>
      <c r="L176" s="30">
        <v>-3.2</v>
      </c>
      <c r="M176" s="30">
        <v>255</v>
      </c>
      <c r="N176" s="30">
        <v>-2.1</v>
      </c>
      <c r="O176" s="30">
        <v>86</v>
      </c>
      <c r="P176" s="30">
        <v>86</v>
      </c>
      <c r="Q176" s="30">
        <v>215</v>
      </c>
      <c r="R176" s="30" t="s">
        <v>155</v>
      </c>
      <c r="S176" s="30">
        <v>6.5</v>
      </c>
      <c r="T176" s="30">
        <v>4.2</v>
      </c>
      <c r="U176" s="34">
        <v>0</v>
      </c>
      <c r="V176" s="35">
        <v>5</v>
      </c>
      <c r="Y176" s="31" t="s">
        <v>543</v>
      </c>
      <c r="Z176" s="30">
        <v>-10.3</v>
      </c>
      <c r="AA176" s="30">
        <v>-10.5</v>
      </c>
      <c r="AB176" s="30">
        <v>-6.3</v>
      </c>
      <c r="AC176" s="30">
        <v>1.3</v>
      </c>
      <c r="AD176" s="30">
        <v>8.6</v>
      </c>
      <c r="AE176" s="30">
        <v>13.6</v>
      </c>
      <c r="AF176" s="30">
        <v>16.399999999999999</v>
      </c>
      <c r="AG176" s="30">
        <v>14.7</v>
      </c>
      <c r="AH176" s="30">
        <v>9.3000000000000007</v>
      </c>
      <c r="AI176" s="30">
        <v>3.4</v>
      </c>
      <c r="AJ176" s="30">
        <v>-1.8</v>
      </c>
      <c r="AK176" s="30">
        <v>-7.1</v>
      </c>
      <c r="AL176" s="30">
        <v>2.6</v>
      </c>
    </row>
    <row r="177" spans="1:38" x14ac:dyDescent="0.25">
      <c r="A177" s="31" t="s">
        <v>815</v>
      </c>
      <c r="B177" s="30">
        <v>-35</v>
      </c>
      <c r="C177" s="30">
        <v>-34</v>
      </c>
      <c r="D177" s="30">
        <v>-32</v>
      </c>
      <c r="E177" s="30">
        <v>-30</v>
      </c>
      <c r="F177" s="30">
        <v>-14</v>
      </c>
      <c r="G177" s="30">
        <v>-46</v>
      </c>
      <c r="H177" s="30">
        <v>7.1</v>
      </c>
      <c r="I177" s="30">
        <v>170</v>
      </c>
      <c r="J177" s="30">
        <v>-7.1</v>
      </c>
      <c r="K177" s="30">
        <v>246</v>
      </c>
      <c r="L177" s="30">
        <v>-3.7</v>
      </c>
      <c r="M177" s="30">
        <v>266</v>
      </c>
      <c r="N177" s="30">
        <v>-2.7</v>
      </c>
      <c r="O177" s="30">
        <v>85</v>
      </c>
      <c r="P177" s="30">
        <v>85</v>
      </c>
      <c r="Q177" s="30">
        <v>142</v>
      </c>
      <c r="R177" s="30" t="s">
        <v>142</v>
      </c>
      <c r="S177" s="30">
        <v>4</v>
      </c>
      <c r="T177" s="30">
        <v>3.6</v>
      </c>
      <c r="U177" s="34">
        <v>0</v>
      </c>
      <c r="V177" s="35">
        <v>5</v>
      </c>
      <c r="Y177" s="31" t="s">
        <v>542</v>
      </c>
      <c r="Z177" s="30">
        <v>-11.2</v>
      </c>
      <c r="AA177" s="30">
        <v>-10.7</v>
      </c>
      <c r="AB177" s="30">
        <v>-5.2</v>
      </c>
      <c r="AC177" s="30">
        <v>0.2</v>
      </c>
      <c r="AD177" s="30">
        <v>6.5</v>
      </c>
      <c r="AE177" s="30">
        <v>12.7</v>
      </c>
      <c r="AF177" s="30">
        <v>16</v>
      </c>
      <c r="AG177" s="30">
        <v>14</v>
      </c>
      <c r="AH177" s="30">
        <v>8.8000000000000007</v>
      </c>
      <c r="AI177" s="30">
        <v>2.8</v>
      </c>
      <c r="AJ177" s="30">
        <v>-3</v>
      </c>
      <c r="AK177" s="30">
        <v>-7.8</v>
      </c>
      <c r="AL177" s="30">
        <v>1.9</v>
      </c>
    </row>
    <row r="178" spans="1:38" x14ac:dyDescent="0.25">
      <c r="A178" s="31" t="s">
        <v>816</v>
      </c>
      <c r="B178" s="30">
        <v>-35</v>
      </c>
      <c r="C178" s="30">
        <v>-33</v>
      </c>
      <c r="D178" s="30">
        <v>-31</v>
      </c>
      <c r="E178" s="30">
        <v>-28</v>
      </c>
      <c r="F178" s="30">
        <v>-14</v>
      </c>
      <c r="G178" s="30">
        <v>-43</v>
      </c>
      <c r="H178" s="30">
        <v>6.4</v>
      </c>
      <c r="I178" s="30">
        <v>158</v>
      </c>
      <c r="J178" s="30">
        <v>-6.6</v>
      </c>
      <c r="K178" s="30">
        <v>235</v>
      </c>
      <c r="L178" s="30">
        <v>-3.2</v>
      </c>
      <c r="M178" s="30">
        <v>256</v>
      </c>
      <c r="N178" s="30">
        <v>-2.2000000000000002</v>
      </c>
      <c r="O178" s="30">
        <v>86</v>
      </c>
      <c r="P178" s="30">
        <v>84</v>
      </c>
      <c r="Q178" s="30">
        <v>169</v>
      </c>
      <c r="R178" s="30" t="s">
        <v>142</v>
      </c>
      <c r="S178" s="30">
        <v>4.2</v>
      </c>
      <c r="T178" s="30">
        <v>3.2</v>
      </c>
      <c r="U178" s="34">
        <v>0</v>
      </c>
      <c r="V178" s="35">
        <v>5</v>
      </c>
      <c r="Y178" s="31" t="s">
        <v>541</v>
      </c>
      <c r="Z178" s="30">
        <v>-10.3</v>
      </c>
      <c r="AA178" s="30">
        <v>-9.5</v>
      </c>
      <c r="AB178" s="30">
        <v>-3.8</v>
      </c>
      <c r="AC178" s="30">
        <v>1.8</v>
      </c>
      <c r="AD178" s="30">
        <v>8.4</v>
      </c>
      <c r="AE178" s="30">
        <v>13.7</v>
      </c>
      <c r="AF178" s="30">
        <v>16.5</v>
      </c>
      <c r="AG178" s="30">
        <v>14.3</v>
      </c>
      <c r="AH178" s="30">
        <v>9.1</v>
      </c>
      <c r="AI178" s="30">
        <v>3.3</v>
      </c>
      <c r="AJ178" s="30">
        <v>-2.5</v>
      </c>
      <c r="AK178" s="30">
        <v>-7</v>
      </c>
      <c r="AL178" s="30">
        <v>2.8</v>
      </c>
    </row>
    <row r="179" spans="1:38" x14ac:dyDescent="0.25">
      <c r="A179" s="31" t="s">
        <v>817</v>
      </c>
      <c r="B179" s="30">
        <v>-40</v>
      </c>
      <c r="C179" s="30">
        <v>-37</v>
      </c>
      <c r="D179" s="30">
        <v>-35</v>
      </c>
      <c r="E179" s="30">
        <v>-33</v>
      </c>
      <c r="F179" s="30">
        <v>-15</v>
      </c>
      <c r="G179" s="30">
        <v>-42</v>
      </c>
      <c r="H179" s="30">
        <v>7.6</v>
      </c>
      <c r="I179" s="30">
        <v>175</v>
      </c>
      <c r="J179" s="30">
        <v>-7.6</v>
      </c>
      <c r="K179" s="30">
        <v>248</v>
      </c>
      <c r="L179" s="30">
        <v>-4.2</v>
      </c>
      <c r="M179" s="30">
        <v>267</v>
      </c>
      <c r="N179" s="30">
        <v>-3.3</v>
      </c>
      <c r="O179" s="30">
        <v>85</v>
      </c>
      <c r="P179" s="30">
        <v>84</v>
      </c>
      <c r="Q179" s="30">
        <v>184</v>
      </c>
      <c r="R179" s="30" t="s">
        <v>155</v>
      </c>
      <c r="S179" s="30">
        <v>3.1</v>
      </c>
      <c r="T179" s="30">
        <v>2.5</v>
      </c>
      <c r="U179" s="34">
        <v>0</v>
      </c>
      <c r="V179" s="35">
        <v>5</v>
      </c>
      <c r="Y179" s="31" t="s">
        <v>540</v>
      </c>
      <c r="Z179" s="30">
        <v>-11.9</v>
      </c>
      <c r="AA179" s="30">
        <v>-11.5</v>
      </c>
      <c r="AB179" s="30">
        <v>-5.7</v>
      </c>
      <c r="AC179" s="30">
        <v>0</v>
      </c>
      <c r="AD179" s="30">
        <v>6.9</v>
      </c>
      <c r="AE179" s="30">
        <v>13.3</v>
      </c>
      <c r="AF179" s="30">
        <v>16.100000000000001</v>
      </c>
      <c r="AG179" s="30">
        <v>13.5</v>
      </c>
      <c r="AH179" s="30">
        <v>8</v>
      </c>
      <c r="AI179" s="30">
        <v>1.9</v>
      </c>
      <c r="AJ179" s="30">
        <v>-4</v>
      </c>
      <c r="AK179" s="30">
        <v>-8.8000000000000007</v>
      </c>
      <c r="AL179" s="30">
        <v>1.5</v>
      </c>
    </row>
    <row r="180" spans="1:38" x14ac:dyDescent="0.25">
      <c r="A180" s="31" t="s">
        <v>818</v>
      </c>
      <c r="B180" s="30">
        <v>-36</v>
      </c>
      <c r="C180" s="30">
        <v>-32</v>
      </c>
      <c r="D180" s="30">
        <v>-31</v>
      </c>
      <c r="E180" s="30">
        <v>-29</v>
      </c>
      <c r="F180" s="30">
        <v>-14</v>
      </c>
      <c r="G180" s="30">
        <v>-43</v>
      </c>
      <c r="H180" s="30">
        <v>7.5</v>
      </c>
      <c r="I180" s="30">
        <v>151</v>
      </c>
      <c r="J180" s="30">
        <v>-6</v>
      </c>
      <c r="K180" s="30">
        <v>232</v>
      </c>
      <c r="L180" s="30">
        <v>-2.5</v>
      </c>
      <c r="M180" s="30">
        <v>253</v>
      </c>
      <c r="N180" s="30">
        <v>-1.6</v>
      </c>
      <c r="O180" s="30">
        <v>85</v>
      </c>
      <c r="P180" s="30" t="s">
        <v>41</v>
      </c>
      <c r="Q180" s="30">
        <v>217</v>
      </c>
      <c r="R180" s="30" t="s">
        <v>150</v>
      </c>
      <c r="S180" s="30">
        <v>4.3</v>
      </c>
      <c r="T180" s="30">
        <v>2.8</v>
      </c>
      <c r="U180" s="34">
        <v>0</v>
      </c>
      <c r="V180" s="35">
        <v>5</v>
      </c>
      <c r="Y180" s="31" t="s">
        <v>539</v>
      </c>
      <c r="Z180" s="30">
        <v>-9.1</v>
      </c>
      <c r="AA180" s="30">
        <v>-8.9</v>
      </c>
      <c r="AB180" s="30">
        <v>-3.8</v>
      </c>
      <c r="AC180" s="30">
        <v>2</v>
      </c>
      <c r="AD180" s="30">
        <v>8.6</v>
      </c>
      <c r="AE180" s="30">
        <v>14</v>
      </c>
      <c r="AF180" s="30">
        <v>16.899999999999999</v>
      </c>
      <c r="AG180" s="30">
        <v>15</v>
      </c>
      <c r="AH180" s="30">
        <v>9.6</v>
      </c>
      <c r="AI180" s="30">
        <v>4.2</v>
      </c>
      <c r="AJ180" s="30">
        <v>-1.1000000000000001</v>
      </c>
      <c r="AK180" s="30">
        <v>-5.8</v>
      </c>
      <c r="AL180" s="30">
        <v>3.5</v>
      </c>
    </row>
    <row r="181" spans="1:38" ht="25.5" x14ac:dyDescent="0.25">
      <c r="A181" s="33" t="s">
        <v>538</v>
      </c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34"/>
      <c r="Y181" s="33" t="s">
        <v>537</v>
      </c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  <c r="AJ181" s="70"/>
      <c r="AK181" s="70"/>
      <c r="AL181" s="70"/>
    </row>
    <row r="182" spans="1:38" x14ac:dyDescent="0.25">
      <c r="A182" s="31" t="s">
        <v>819</v>
      </c>
      <c r="B182" s="30">
        <v>-45</v>
      </c>
      <c r="C182" s="30">
        <v>-43</v>
      </c>
      <c r="D182" s="30">
        <v>-42</v>
      </c>
      <c r="E182" s="30">
        <v>-39</v>
      </c>
      <c r="F182" s="30">
        <v>-22</v>
      </c>
      <c r="G182" s="30">
        <v>-50</v>
      </c>
      <c r="H182" s="30">
        <v>9.5</v>
      </c>
      <c r="I182" s="30">
        <v>172</v>
      </c>
      <c r="J182" s="30">
        <v>-12</v>
      </c>
      <c r="K182" s="30">
        <v>227</v>
      </c>
      <c r="L182" s="30">
        <v>-8</v>
      </c>
      <c r="M182" s="30">
        <v>243</v>
      </c>
      <c r="N182" s="30">
        <v>-6.9</v>
      </c>
      <c r="O182" s="30">
        <v>78</v>
      </c>
      <c r="P182" s="30">
        <v>77</v>
      </c>
      <c r="Q182" s="30">
        <v>94</v>
      </c>
      <c r="R182" s="30" t="s">
        <v>150</v>
      </c>
      <c r="S182" s="30">
        <v>3.4</v>
      </c>
      <c r="T182" s="30">
        <v>2.9</v>
      </c>
      <c r="U182" s="34">
        <v>2</v>
      </c>
      <c r="Y182" s="31" t="s">
        <v>536</v>
      </c>
      <c r="Z182" s="30">
        <v>-17.899999999999999</v>
      </c>
      <c r="AA182" s="30">
        <v>-15.8</v>
      </c>
      <c r="AB182" s="30">
        <v>-8.1</v>
      </c>
      <c r="AC182" s="30">
        <v>1.8</v>
      </c>
      <c r="AD182" s="30">
        <v>10.6</v>
      </c>
      <c r="AE182" s="30">
        <v>16.399999999999999</v>
      </c>
      <c r="AF182" s="30">
        <v>19</v>
      </c>
      <c r="AG182" s="30">
        <v>15.8</v>
      </c>
      <c r="AH182" s="30">
        <v>9.5</v>
      </c>
      <c r="AI182" s="30">
        <v>1.9</v>
      </c>
      <c r="AJ182" s="30">
        <v>-7.8</v>
      </c>
      <c r="AK182" s="30">
        <v>-15.2</v>
      </c>
      <c r="AL182" s="30">
        <v>0.8</v>
      </c>
    </row>
    <row r="183" spans="1:38" x14ac:dyDescent="0.25">
      <c r="A183" s="31" t="s">
        <v>535</v>
      </c>
      <c r="B183" s="30">
        <v>-45</v>
      </c>
      <c r="C183" s="30">
        <v>-42</v>
      </c>
      <c r="D183" s="30">
        <v>-40</v>
      </c>
      <c r="E183" s="30">
        <v>-39</v>
      </c>
      <c r="F183" s="30">
        <v>-22</v>
      </c>
      <c r="G183" s="30">
        <v>-50</v>
      </c>
      <c r="H183" s="30">
        <v>8.5</v>
      </c>
      <c r="I183" s="30">
        <v>169</v>
      </c>
      <c r="J183" s="30">
        <v>-11.2</v>
      </c>
      <c r="K183" s="30">
        <v>227</v>
      </c>
      <c r="L183" s="30">
        <v>-7.3</v>
      </c>
      <c r="M183" s="30">
        <v>242</v>
      </c>
      <c r="N183" s="30">
        <v>-6.7</v>
      </c>
      <c r="O183" s="30">
        <v>78</v>
      </c>
      <c r="P183" s="30">
        <v>75</v>
      </c>
      <c r="Q183" s="30">
        <v>98</v>
      </c>
      <c r="R183" s="30" t="s">
        <v>155</v>
      </c>
      <c r="S183" s="30">
        <v>5.5</v>
      </c>
      <c r="T183" s="30" t="s">
        <v>41</v>
      </c>
      <c r="U183" s="34">
        <v>2</v>
      </c>
      <c r="Y183" s="31" t="s">
        <v>535</v>
      </c>
      <c r="Z183" s="30">
        <v>-17.2</v>
      </c>
      <c r="AA183" s="30">
        <v>-15.5</v>
      </c>
      <c r="AB183" s="30">
        <v>-8.1</v>
      </c>
      <c r="AC183" s="30">
        <v>2</v>
      </c>
      <c r="AD183" s="30">
        <v>10</v>
      </c>
      <c r="AE183" s="30">
        <v>16.600000000000001</v>
      </c>
      <c r="AF183" s="30">
        <v>18.8</v>
      </c>
      <c r="AG183" s="30">
        <v>15.8</v>
      </c>
      <c r="AH183" s="30">
        <v>10</v>
      </c>
      <c r="AI183" s="30">
        <v>2.2000000000000002</v>
      </c>
      <c r="AJ183" s="30">
        <v>-8.3000000000000007</v>
      </c>
      <c r="AK183" s="30">
        <v>-15.4</v>
      </c>
      <c r="AL183" s="30">
        <v>0.9</v>
      </c>
    </row>
    <row r="184" spans="1:38" x14ac:dyDescent="0.25">
      <c r="A184" s="31" t="s">
        <v>534</v>
      </c>
      <c r="B184" s="30">
        <v>-46</v>
      </c>
      <c r="C184" s="30">
        <v>-44</v>
      </c>
      <c r="D184" s="30">
        <v>-43</v>
      </c>
      <c r="E184" s="30">
        <v>-40</v>
      </c>
      <c r="F184" s="30">
        <v>-24</v>
      </c>
      <c r="G184" s="30">
        <v>-52</v>
      </c>
      <c r="H184" s="30">
        <v>13.6</v>
      </c>
      <c r="I184" s="30">
        <v>175</v>
      </c>
      <c r="J184" s="30">
        <v>-12</v>
      </c>
      <c r="K184" s="30">
        <v>236</v>
      </c>
      <c r="L184" s="30">
        <v>-7.8</v>
      </c>
      <c r="M184" s="30">
        <v>254</v>
      </c>
      <c r="N184" s="30">
        <v>-6.6</v>
      </c>
      <c r="O184" s="30">
        <v>82</v>
      </c>
      <c r="P184" s="30">
        <v>74</v>
      </c>
      <c r="Q184" s="30">
        <v>315</v>
      </c>
      <c r="R184" s="30" t="s">
        <v>155</v>
      </c>
      <c r="S184" s="30">
        <v>3.6</v>
      </c>
      <c r="T184" s="30">
        <v>1.5</v>
      </c>
      <c r="U184" s="34">
        <v>2</v>
      </c>
      <c r="Y184" s="31" t="s">
        <v>534</v>
      </c>
      <c r="Z184" s="30">
        <v>-19.100000000000001</v>
      </c>
      <c r="AA184" s="30">
        <v>-16.3</v>
      </c>
      <c r="AB184" s="30">
        <v>-8.6</v>
      </c>
      <c r="AC184" s="30">
        <v>0.9</v>
      </c>
      <c r="AD184" s="30">
        <v>9.1</v>
      </c>
      <c r="AE184" s="30">
        <v>15.2</v>
      </c>
      <c r="AF184" s="30">
        <v>17.399999999999999</v>
      </c>
      <c r="AG184" s="30">
        <v>14.5</v>
      </c>
      <c r="AH184" s="30">
        <v>8.6</v>
      </c>
      <c r="AI184" s="30">
        <v>1.4</v>
      </c>
      <c r="AJ184" s="30">
        <v>-9.4</v>
      </c>
      <c r="AK184" s="30">
        <v>-17</v>
      </c>
      <c r="AL184" s="30">
        <v>-0.3</v>
      </c>
    </row>
    <row r="185" spans="1:38" x14ac:dyDescent="0.25">
      <c r="A185" s="31" t="s">
        <v>533</v>
      </c>
      <c r="B185" s="30">
        <v>-47</v>
      </c>
      <c r="C185" s="30">
        <v>-43</v>
      </c>
      <c r="D185" s="30">
        <v>-44</v>
      </c>
      <c r="E185" s="30">
        <v>-40</v>
      </c>
      <c r="F185" s="30">
        <v>-23</v>
      </c>
      <c r="G185" s="30">
        <v>-55</v>
      </c>
      <c r="H185" s="30">
        <v>9.5</v>
      </c>
      <c r="I185" s="30">
        <v>176</v>
      </c>
      <c r="J185" s="30">
        <v>-11.6</v>
      </c>
      <c r="K185" s="30">
        <v>235</v>
      </c>
      <c r="L185" s="30">
        <v>-7.7</v>
      </c>
      <c r="M185" s="30">
        <v>251</v>
      </c>
      <c r="N185" s="30">
        <v>-6.6</v>
      </c>
      <c r="O185" s="30">
        <v>80</v>
      </c>
      <c r="P185" s="30">
        <v>77</v>
      </c>
      <c r="Q185" s="30">
        <v>99</v>
      </c>
      <c r="R185" s="30" t="s">
        <v>155</v>
      </c>
      <c r="S185" s="30">
        <v>5.7</v>
      </c>
      <c r="T185" s="30" t="s">
        <v>41</v>
      </c>
      <c r="U185" s="34">
        <v>2</v>
      </c>
      <c r="Y185" s="31" t="s">
        <v>533</v>
      </c>
      <c r="Z185" s="30">
        <v>-17.8</v>
      </c>
      <c r="AA185" s="30">
        <v>-16.2</v>
      </c>
      <c r="AB185" s="30">
        <v>-9.3000000000000007</v>
      </c>
      <c r="AC185" s="30">
        <v>0.8</v>
      </c>
      <c r="AD185" s="30">
        <v>9</v>
      </c>
      <c r="AE185" s="30">
        <v>15.9</v>
      </c>
      <c r="AF185" s="30">
        <v>18.3</v>
      </c>
      <c r="AG185" s="30">
        <v>15.2</v>
      </c>
      <c r="AH185" s="30">
        <v>9.1</v>
      </c>
      <c r="AI185" s="30">
        <v>1</v>
      </c>
      <c r="AJ185" s="30">
        <v>-9.1</v>
      </c>
      <c r="AK185" s="30">
        <v>-16.2</v>
      </c>
      <c r="AL185" s="30">
        <v>0.1</v>
      </c>
    </row>
    <row r="186" spans="1:38" x14ac:dyDescent="0.25">
      <c r="A186" s="31" t="s">
        <v>820</v>
      </c>
      <c r="B186" s="30">
        <v>-43</v>
      </c>
      <c r="C186" s="30">
        <v>-42</v>
      </c>
      <c r="D186" s="30">
        <v>-40</v>
      </c>
      <c r="E186" s="30">
        <v>-39</v>
      </c>
      <c r="F186" s="30">
        <v>-22</v>
      </c>
      <c r="G186" s="30">
        <v>-53</v>
      </c>
      <c r="H186" s="30">
        <v>9.1999999999999993</v>
      </c>
      <c r="I186" s="30">
        <v>181</v>
      </c>
      <c r="J186" s="30">
        <v>-11.9</v>
      </c>
      <c r="K186" s="30">
        <v>240</v>
      </c>
      <c r="L186" s="30">
        <v>-8</v>
      </c>
      <c r="M186" s="30">
        <v>257</v>
      </c>
      <c r="N186" s="30">
        <v>-6.8</v>
      </c>
      <c r="O186" s="30">
        <v>81</v>
      </c>
      <c r="P186" s="30">
        <v>79</v>
      </c>
      <c r="Q186" s="30">
        <v>169</v>
      </c>
      <c r="R186" s="30" t="s">
        <v>155</v>
      </c>
      <c r="S186" s="30">
        <v>5.0999999999999996</v>
      </c>
      <c r="T186" s="30">
        <v>3.7</v>
      </c>
      <c r="U186" s="34">
        <v>2</v>
      </c>
      <c r="Y186" s="31" t="s">
        <v>532</v>
      </c>
      <c r="Z186" s="30">
        <v>-18</v>
      </c>
      <c r="AA186" s="30">
        <v>-16.100000000000001</v>
      </c>
      <c r="AB186" s="30">
        <v>-8.3000000000000007</v>
      </c>
      <c r="AC186" s="30">
        <v>0.3</v>
      </c>
      <c r="AD186" s="30">
        <v>8.8000000000000007</v>
      </c>
      <c r="AE186" s="30">
        <v>14.9</v>
      </c>
      <c r="AF186" s="30">
        <v>17.600000000000001</v>
      </c>
      <c r="AG186" s="30">
        <v>14.3</v>
      </c>
      <c r="AH186" s="30">
        <v>8.1</v>
      </c>
      <c r="AI186" s="30">
        <v>0.5</v>
      </c>
      <c r="AJ186" s="30">
        <v>-9.1</v>
      </c>
      <c r="AK186" s="30">
        <v>-15.8</v>
      </c>
      <c r="AL186" s="30">
        <v>-0.2</v>
      </c>
    </row>
    <row r="187" spans="1:38" x14ac:dyDescent="0.25">
      <c r="A187" s="31" t="s">
        <v>821</v>
      </c>
      <c r="B187" s="30">
        <v>-44</v>
      </c>
      <c r="C187" s="30">
        <v>-43</v>
      </c>
      <c r="D187" s="30">
        <v>-42</v>
      </c>
      <c r="E187" s="30">
        <v>-39</v>
      </c>
      <c r="F187" s="30">
        <v>-20</v>
      </c>
      <c r="G187" s="30">
        <v>-51</v>
      </c>
      <c r="H187" s="30">
        <v>9.9</v>
      </c>
      <c r="I187" s="30">
        <v>172</v>
      </c>
      <c r="J187" s="30">
        <v>-11</v>
      </c>
      <c r="K187" s="30">
        <v>231</v>
      </c>
      <c r="L187" s="30">
        <v>-7.1</v>
      </c>
      <c r="M187" s="30">
        <v>248</v>
      </c>
      <c r="N187" s="30">
        <v>-6</v>
      </c>
      <c r="O187" s="30">
        <v>74</v>
      </c>
      <c r="P187" s="30">
        <v>71</v>
      </c>
      <c r="Q187" s="30">
        <v>80</v>
      </c>
      <c r="R187" s="30" t="s">
        <v>155</v>
      </c>
      <c r="S187" s="30">
        <v>6.6</v>
      </c>
      <c r="T187" s="30">
        <v>3.9</v>
      </c>
      <c r="U187" s="34">
        <v>2</v>
      </c>
      <c r="Y187" s="31" t="s">
        <v>531</v>
      </c>
      <c r="Z187" s="30">
        <v>-16.3</v>
      </c>
      <c r="AA187" s="30">
        <v>-14.7</v>
      </c>
      <c r="AB187" s="30">
        <v>-7.2</v>
      </c>
      <c r="AC187" s="30">
        <v>1.7</v>
      </c>
      <c r="AD187" s="30">
        <v>9.8000000000000007</v>
      </c>
      <c r="AE187" s="30">
        <v>15.7</v>
      </c>
      <c r="AF187" s="30">
        <v>18.100000000000001</v>
      </c>
      <c r="AG187" s="30">
        <v>15.2</v>
      </c>
      <c r="AH187" s="30">
        <v>9.1999999999999993</v>
      </c>
      <c r="AI187" s="30">
        <v>1.8</v>
      </c>
      <c r="AJ187" s="30">
        <v>-7.5</v>
      </c>
      <c r="AK187" s="30">
        <v>-13.8</v>
      </c>
      <c r="AL187" s="30">
        <v>1</v>
      </c>
    </row>
    <row r="188" spans="1:38" x14ac:dyDescent="0.25">
      <c r="A188" s="31" t="s">
        <v>530</v>
      </c>
      <c r="B188" s="30">
        <v>-46</v>
      </c>
      <c r="C188" s="30">
        <v>-42</v>
      </c>
      <c r="D188" s="30">
        <v>-42</v>
      </c>
      <c r="E188" s="30">
        <v>-39</v>
      </c>
      <c r="F188" s="30">
        <v>-23</v>
      </c>
      <c r="G188" s="30">
        <v>-51</v>
      </c>
      <c r="H188" s="30">
        <v>7.7</v>
      </c>
      <c r="I188" s="30">
        <v>180</v>
      </c>
      <c r="J188" s="30">
        <v>-11.9</v>
      </c>
      <c r="K188" s="30">
        <v>235</v>
      </c>
      <c r="L188" s="30">
        <v>-8.1999999999999993</v>
      </c>
      <c r="M188" s="30">
        <v>251</v>
      </c>
      <c r="N188" s="30">
        <v>-7.1</v>
      </c>
      <c r="O188" s="30">
        <v>84</v>
      </c>
      <c r="P188" s="30">
        <v>82</v>
      </c>
      <c r="Q188" s="30">
        <v>256</v>
      </c>
      <c r="R188" s="30" t="s">
        <v>150</v>
      </c>
      <c r="S188" s="30" t="s">
        <v>41</v>
      </c>
      <c r="T188" s="30" t="s">
        <v>41</v>
      </c>
      <c r="U188" s="34">
        <v>2</v>
      </c>
      <c r="Y188" s="31" t="s">
        <v>530</v>
      </c>
      <c r="Z188" s="30">
        <v>-18.2</v>
      </c>
      <c r="AA188" s="30">
        <v>-16.100000000000001</v>
      </c>
      <c r="AB188" s="30">
        <v>-10.199999999999999</v>
      </c>
      <c r="AC188" s="30">
        <v>-0.2</v>
      </c>
      <c r="AD188" s="30">
        <v>8.9</v>
      </c>
      <c r="AE188" s="30">
        <v>15.8</v>
      </c>
      <c r="AF188" s="30">
        <v>18.2</v>
      </c>
      <c r="AG188" s="30">
        <v>15.4</v>
      </c>
      <c r="AH188" s="30">
        <v>9.1999999999999993</v>
      </c>
      <c r="AI188" s="30">
        <v>0.7</v>
      </c>
      <c r="AJ188" s="30">
        <v>-10.199999999999999</v>
      </c>
      <c r="AK188" s="30">
        <v>-16.5</v>
      </c>
      <c r="AL188" s="30">
        <v>-0.3</v>
      </c>
    </row>
    <row r="189" spans="1:38" x14ac:dyDescent="0.25">
      <c r="A189" s="31" t="s">
        <v>529</v>
      </c>
      <c r="B189" s="30">
        <v>-46</v>
      </c>
      <c r="C189" s="30">
        <v>-44</v>
      </c>
      <c r="D189" s="30">
        <v>-43</v>
      </c>
      <c r="E189" s="30">
        <v>-41</v>
      </c>
      <c r="F189" s="30">
        <v>-27</v>
      </c>
      <c r="G189" s="30">
        <v>-54</v>
      </c>
      <c r="H189" s="30">
        <v>13.8</v>
      </c>
      <c r="I189" s="30">
        <v>182</v>
      </c>
      <c r="J189" s="30">
        <v>-13.2</v>
      </c>
      <c r="K189" s="30">
        <v>241</v>
      </c>
      <c r="L189" s="30">
        <v>-9</v>
      </c>
      <c r="M189" s="30">
        <v>259</v>
      </c>
      <c r="N189" s="30">
        <v>-7.7</v>
      </c>
      <c r="O189" s="30">
        <v>80</v>
      </c>
      <c r="P189" s="30">
        <v>73</v>
      </c>
      <c r="Q189" s="30">
        <v>243</v>
      </c>
      <c r="R189" s="30" t="s">
        <v>142</v>
      </c>
      <c r="S189" s="30" t="s">
        <v>41</v>
      </c>
      <c r="T189" s="30" t="s">
        <v>41</v>
      </c>
      <c r="U189" s="34">
        <v>2</v>
      </c>
      <c r="Y189" s="31" t="s">
        <v>529</v>
      </c>
      <c r="Z189" s="30">
        <v>-22.1</v>
      </c>
      <c r="AA189" s="30">
        <v>-18</v>
      </c>
      <c r="AB189" s="30">
        <v>-10</v>
      </c>
      <c r="AC189" s="30">
        <v>-0.4</v>
      </c>
      <c r="AD189" s="30">
        <v>8.1</v>
      </c>
      <c r="AE189" s="30">
        <v>14.6</v>
      </c>
      <c r="AF189" s="30">
        <v>16.899999999999999</v>
      </c>
      <c r="AG189" s="30">
        <v>14.5</v>
      </c>
      <c r="AH189" s="30">
        <v>8.4</v>
      </c>
      <c r="AI189" s="30">
        <v>0.4</v>
      </c>
      <c r="AJ189" s="30">
        <v>-10.5</v>
      </c>
      <c r="AK189" s="30">
        <v>-19</v>
      </c>
      <c r="AL189" s="30">
        <v>-1.4</v>
      </c>
    </row>
    <row r="190" spans="1:38" x14ac:dyDescent="0.25">
      <c r="A190" s="33" t="s">
        <v>528</v>
      </c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34"/>
      <c r="Y190" s="33" t="s">
        <v>528</v>
      </c>
      <c r="Z190" s="70"/>
      <c r="AA190" s="70"/>
      <c r="AB190" s="70"/>
      <c r="AC190" s="70"/>
      <c r="AD190" s="70"/>
      <c r="AE190" s="70"/>
      <c r="AF190" s="70"/>
      <c r="AG190" s="70"/>
      <c r="AH190" s="70"/>
      <c r="AI190" s="70"/>
      <c r="AJ190" s="70"/>
      <c r="AK190" s="70"/>
      <c r="AL190" s="70"/>
    </row>
    <row r="191" spans="1:38" x14ac:dyDescent="0.25">
      <c r="A191" s="31" t="s">
        <v>527</v>
      </c>
      <c r="B191" s="30">
        <v>-39</v>
      </c>
      <c r="C191" s="30">
        <v>-37</v>
      </c>
      <c r="D191" s="30">
        <v>-35</v>
      </c>
      <c r="E191" s="30">
        <v>-33</v>
      </c>
      <c r="F191" s="30">
        <v>-19</v>
      </c>
      <c r="G191" s="30">
        <v>-45</v>
      </c>
      <c r="H191" s="30">
        <v>7.2</v>
      </c>
      <c r="I191" s="30">
        <v>168</v>
      </c>
      <c r="J191" s="30">
        <v>-9</v>
      </c>
      <c r="K191" s="30">
        <v>231</v>
      </c>
      <c r="L191" s="30">
        <v>-5.4</v>
      </c>
      <c r="M191" s="30">
        <v>247</v>
      </c>
      <c r="N191" s="30">
        <v>-4.8</v>
      </c>
      <c r="O191" s="30">
        <v>86</v>
      </c>
      <c r="P191" s="30">
        <v>82</v>
      </c>
      <c r="Q191" s="30">
        <v>167</v>
      </c>
      <c r="R191" s="30" t="s">
        <v>150</v>
      </c>
      <c r="S191" s="30">
        <v>5.3</v>
      </c>
      <c r="T191" s="30">
        <v>3.9</v>
      </c>
      <c r="U191" s="34">
        <v>0</v>
      </c>
      <c r="Y191" s="31" t="s">
        <v>527</v>
      </c>
      <c r="Z191" s="30">
        <v>-14.4</v>
      </c>
      <c r="AA191" s="30">
        <v>-12.9</v>
      </c>
      <c r="AB191" s="30">
        <v>-6.7</v>
      </c>
      <c r="AC191" s="30">
        <v>2.2000000000000002</v>
      </c>
      <c r="AD191" s="30">
        <v>10</v>
      </c>
      <c r="AE191" s="30">
        <v>15.4</v>
      </c>
      <c r="AF191" s="30">
        <v>17.899999999999999</v>
      </c>
      <c r="AG191" s="30">
        <v>15.3</v>
      </c>
      <c r="AH191" s="30">
        <v>9</v>
      </c>
      <c r="AI191" s="30">
        <v>1.5</v>
      </c>
      <c r="AJ191" s="30">
        <v>-5.7</v>
      </c>
      <c r="AK191" s="30">
        <v>-11.8</v>
      </c>
      <c r="AL191" s="30">
        <v>1.6</v>
      </c>
    </row>
    <row r="192" spans="1:38" x14ac:dyDescent="0.25">
      <c r="A192" s="31" t="s">
        <v>526</v>
      </c>
      <c r="B192" s="30">
        <v>-42</v>
      </c>
      <c r="C192" s="30">
        <v>-38</v>
      </c>
      <c r="D192" s="30">
        <v>-36</v>
      </c>
      <c r="E192" s="30">
        <v>-34</v>
      </c>
      <c r="F192" s="30">
        <v>-20</v>
      </c>
      <c r="G192" s="30">
        <v>-47</v>
      </c>
      <c r="H192" s="30">
        <v>6.3</v>
      </c>
      <c r="I192" s="30">
        <v>174</v>
      </c>
      <c r="J192" s="30">
        <v>-9.5</v>
      </c>
      <c r="K192" s="30">
        <v>239</v>
      </c>
      <c r="L192" s="30">
        <v>-5.8</v>
      </c>
      <c r="M192" s="30">
        <v>258</v>
      </c>
      <c r="N192" s="30">
        <v>-4.7</v>
      </c>
      <c r="O192" s="30">
        <v>87</v>
      </c>
      <c r="P192" s="30">
        <v>87</v>
      </c>
      <c r="Q192" s="30">
        <v>172</v>
      </c>
      <c r="R192" s="30" t="s">
        <v>150</v>
      </c>
      <c r="S192" s="30" t="s">
        <v>41</v>
      </c>
      <c r="T192" s="30">
        <v>4.4000000000000004</v>
      </c>
      <c r="U192" s="34">
        <v>0</v>
      </c>
      <c r="Y192" s="31" t="s">
        <v>526</v>
      </c>
      <c r="Z192" s="30">
        <v>-14.9</v>
      </c>
      <c r="AA192" s="30">
        <v>-13.7</v>
      </c>
      <c r="AB192" s="30">
        <v>-7.1</v>
      </c>
      <c r="AC192" s="30">
        <v>1.6</v>
      </c>
      <c r="AD192" s="30">
        <v>9</v>
      </c>
      <c r="AE192" s="30">
        <v>14.6</v>
      </c>
      <c r="AF192" s="30">
        <v>16.899999999999999</v>
      </c>
      <c r="AG192" s="30">
        <v>14.8</v>
      </c>
      <c r="AH192" s="30">
        <v>8.5</v>
      </c>
      <c r="AI192" s="30">
        <v>0.8</v>
      </c>
      <c r="AJ192" s="30">
        <v>-6</v>
      </c>
      <c r="AK192" s="30">
        <v>-12.5</v>
      </c>
      <c r="AL192" s="30">
        <v>1</v>
      </c>
    </row>
    <row r="193" spans="1:38" x14ac:dyDescent="0.25">
      <c r="A193" s="31" t="s">
        <v>525</v>
      </c>
      <c r="B193" s="30">
        <v>-40</v>
      </c>
      <c r="C193" s="30">
        <v>-37</v>
      </c>
      <c r="D193" s="30">
        <v>-37</v>
      </c>
      <c r="E193" s="30">
        <v>-33</v>
      </c>
      <c r="F193" s="30">
        <v>-19</v>
      </c>
      <c r="G193" s="30">
        <v>-48</v>
      </c>
      <c r="H193" s="30">
        <v>7.2</v>
      </c>
      <c r="I193" s="30">
        <v>162</v>
      </c>
      <c r="J193" s="30">
        <v>-9.1</v>
      </c>
      <c r="K193" s="30">
        <v>220</v>
      </c>
      <c r="L193" s="30">
        <v>-5.7</v>
      </c>
      <c r="M193" s="30">
        <v>235</v>
      </c>
      <c r="N193" s="30">
        <v>-4.7</v>
      </c>
      <c r="O193" s="30">
        <v>82</v>
      </c>
      <c r="P193" s="30">
        <v>80</v>
      </c>
      <c r="Q193" s="30">
        <v>229</v>
      </c>
      <c r="R193" s="30" t="s">
        <v>155</v>
      </c>
      <c r="S193" s="30" t="s">
        <v>41</v>
      </c>
      <c r="T193" s="30">
        <v>4.7</v>
      </c>
      <c r="U193" s="34">
        <v>0</v>
      </c>
      <c r="Y193" s="31" t="s">
        <v>525</v>
      </c>
      <c r="Z193" s="30">
        <v>-14</v>
      </c>
      <c r="AA193" s="30">
        <v>-13.2</v>
      </c>
      <c r="AB193" s="30">
        <v>-7.4</v>
      </c>
      <c r="AC193" s="30">
        <v>2.8</v>
      </c>
      <c r="AD193" s="30">
        <v>11.6</v>
      </c>
      <c r="AE193" s="30">
        <v>16.8</v>
      </c>
      <c r="AF193" s="30">
        <v>18.8</v>
      </c>
      <c r="AG193" s="30">
        <v>16.8</v>
      </c>
      <c r="AH193" s="30">
        <v>10.4</v>
      </c>
      <c r="AI193" s="30">
        <v>2.8</v>
      </c>
      <c r="AJ193" s="30">
        <v>-5.2</v>
      </c>
      <c r="AK193" s="30">
        <v>-11.5</v>
      </c>
      <c r="AL193" s="30">
        <v>2.4</v>
      </c>
    </row>
    <row r="194" spans="1:38" x14ac:dyDescent="0.25">
      <c r="A194" s="33" t="s">
        <v>524</v>
      </c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  <c r="U194" s="34"/>
      <c r="Y194" s="33" t="s">
        <v>524</v>
      </c>
      <c r="Z194" s="70"/>
      <c r="AA194" s="70"/>
      <c r="AB194" s="70"/>
      <c r="AC194" s="70"/>
      <c r="AD194" s="70"/>
      <c r="AE194" s="70"/>
      <c r="AF194" s="70"/>
      <c r="AG194" s="70"/>
      <c r="AH194" s="70"/>
      <c r="AI194" s="70"/>
      <c r="AJ194" s="70"/>
      <c r="AK194" s="70"/>
      <c r="AL194" s="70"/>
    </row>
    <row r="195" spans="1:38" x14ac:dyDescent="0.25">
      <c r="A195" s="31" t="s">
        <v>523</v>
      </c>
      <c r="B195" s="30">
        <v>-46</v>
      </c>
      <c r="C195" s="30">
        <v>-44</v>
      </c>
      <c r="D195" s="30">
        <v>-40</v>
      </c>
      <c r="E195" s="30">
        <v>-39</v>
      </c>
      <c r="F195" s="30">
        <v>-21</v>
      </c>
      <c r="G195" s="30">
        <v>-52</v>
      </c>
      <c r="H195" s="30">
        <v>8.6999999999999993</v>
      </c>
      <c r="I195" s="30">
        <v>183</v>
      </c>
      <c r="J195" s="30">
        <v>-9.9</v>
      </c>
      <c r="K195" s="30">
        <v>257</v>
      </c>
      <c r="L195" s="30">
        <v>-5.9</v>
      </c>
      <c r="M195" s="30">
        <v>277</v>
      </c>
      <c r="N195" s="30">
        <v>-4.8</v>
      </c>
      <c r="O195" s="30">
        <v>83</v>
      </c>
      <c r="P195" s="30">
        <v>83</v>
      </c>
      <c r="Q195" s="30">
        <v>159</v>
      </c>
      <c r="R195" s="30" t="s">
        <v>150</v>
      </c>
      <c r="S195" s="30">
        <v>3.8</v>
      </c>
      <c r="T195" s="30">
        <v>3.1</v>
      </c>
      <c r="U195" s="34">
        <v>0</v>
      </c>
      <c r="V195" s="35">
        <v>5</v>
      </c>
      <c r="Y195" s="31" t="s">
        <v>523</v>
      </c>
      <c r="Z195" s="30">
        <v>-15.8</v>
      </c>
      <c r="AA195" s="30">
        <v>-15.1</v>
      </c>
      <c r="AB195" s="30">
        <v>-9.1</v>
      </c>
      <c r="AC195" s="30">
        <v>-0.4</v>
      </c>
      <c r="AD195" s="30">
        <v>6.2</v>
      </c>
      <c r="AE195" s="30">
        <v>12.4</v>
      </c>
      <c r="AF195" s="30">
        <v>15.5</v>
      </c>
      <c r="AG195" s="30">
        <v>13</v>
      </c>
      <c r="AH195" s="30">
        <v>6.8</v>
      </c>
      <c r="AI195" s="30">
        <v>0</v>
      </c>
      <c r="AJ195" s="30">
        <v>-6.7</v>
      </c>
      <c r="AK195" s="30">
        <v>-13.2</v>
      </c>
      <c r="AL195" s="30">
        <v>-0.5</v>
      </c>
    </row>
    <row r="196" spans="1:38" x14ac:dyDescent="0.25">
      <c r="A196" s="31" t="s">
        <v>522</v>
      </c>
      <c r="B196" s="30">
        <v>-46</v>
      </c>
      <c r="C196" s="30">
        <v>-45</v>
      </c>
      <c r="D196" s="30">
        <v>-43</v>
      </c>
      <c r="E196" s="30">
        <v>-41</v>
      </c>
      <c r="F196" s="30">
        <v>-26</v>
      </c>
      <c r="G196" s="30">
        <v>-52</v>
      </c>
      <c r="H196" s="30">
        <v>8.6</v>
      </c>
      <c r="I196" s="30">
        <v>239</v>
      </c>
      <c r="J196" s="30">
        <v>-12.8</v>
      </c>
      <c r="K196" s="30">
        <v>306</v>
      </c>
      <c r="L196" s="30">
        <v>-9.1</v>
      </c>
      <c r="M196" s="30">
        <v>328</v>
      </c>
      <c r="N196" s="30">
        <v>-7.8</v>
      </c>
      <c r="O196" s="30">
        <v>81</v>
      </c>
      <c r="P196" s="30">
        <v>81</v>
      </c>
      <c r="Q196" s="30">
        <v>178</v>
      </c>
      <c r="R196" s="30" t="s">
        <v>150</v>
      </c>
      <c r="S196" s="30">
        <v>10.1</v>
      </c>
      <c r="T196" s="30">
        <v>5.8</v>
      </c>
      <c r="U196" s="34">
        <v>0</v>
      </c>
      <c r="V196" s="35">
        <v>5</v>
      </c>
      <c r="Y196" s="31" t="s">
        <v>522</v>
      </c>
      <c r="Z196" s="30">
        <v>-20.3</v>
      </c>
      <c r="AA196" s="30">
        <v>-20.6</v>
      </c>
      <c r="AB196" s="30">
        <v>-16.5</v>
      </c>
      <c r="AC196" s="30">
        <v>-9</v>
      </c>
      <c r="AD196" s="30">
        <v>-2.8</v>
      </c>
      <c r="AE196" s="30">
        <v>5.8</v>
      </c>
      <c r="AF196" s="30">
        <v>12.4</v>
      </c>
      <c r="AG196" s="30">
        <v>9.5</v>
      </c>
      <c r="AH196" s="30">
        <v>3.8</v>
      </c>
      <c r="AI196" s="30">
        <v>-5.0999999999999996</v>
      </c>
      <c r="AJ196" s="30">
        <v>-13.6</v>
      </c>
      <c r="AK196" s="30">
        <v>-15.7</v>
      </c>
      <c r="AL196" s="30">
        <v>-6</v>
      </c>
    </row>
    <row r="197" spans="1:38" x14ac:dyDescent="0.25">
      <c r="A197" s="31" t="s">
        <v>521</v>
      </c>
      <c r="B197" s="30">
        <v>-41</v>
      </c>
      <c r="C197" s="30">
        <v>-39</v>
      </c>
      <c r="D197" s="30">
        <v>-37</v>
      </c>
      <c r="E197" s="30">
        <v>-34</v>
      </c>
      <c r="F197" s="30">
        <v>-20</v>
      </c>
      <c r="G197" s="30">
        <v>-47</v>
      </c>
      <c r="H197" s="30">
        <v>7</v>
      </c>
      <c r="I197" s="30">
        <v>172</v>
      </c>
      <c r="J197" s="30">
        <v>-8.9</v>
      </c>
      <c r="K197" s="30">
        <v>239</v>
      </c>
      <c r="L197" s="30">
        <v>-5.3</v>
      </c>
      <c r="M197" s="30">
        <v>259</v>
      </c>
      <c r="N197" s="30">
        <v>-4.2</v>
      </c>
      <c r="O197" s="30">
        <v>83</v>
      </c>
      <c r="P197" s="30">
        <v>83</v>
      </c>
      <c r="Q197" s="30">
        <v>182</v>
      </c>
      <c r="R197" s="30" t="s">
        <v>150</v>
      </c>
      <c r="S197" s="30" t="s">
        <v>41</v>
      </c>
      <c r="T197" s="30">
        <v>3.8</v>
      </c>
      <c r="U197" s="34">
        <v>0</v>
      </c>
      <c r="V197" s="35">
        <v>5</v>
      </c>
      <c r="Y197" s="31" t="s">
        <v>521</v>
      </c>
      <c r="Z197" s="30">
        <v>-14.9</v>
      </c>
      <c r="AA197" s="30">
        <v>-13</v>
      </c>
      <c r="AB197" s="30">
        <v>-6.6</v>
      </c>
      <c r="AC197" s="30">
        <v>1.7</v>
      </c>
      <c r="AD197" s="30">
        <v>8.5</v>
      </c>
      <c r="AE197" s="30">
        <v>14.4</v>
      </c>
      <c r="AF197" s="30">
        <v>16.600000000000001</v>
      </c>
      <c r="AG197" s="30">
        <v>14.3</v>
      </c>
      <c r="AH197" s="30">
        <v>8.1999999999999993</v>
      </c>
      <c r="AI197" s="30">
        <v>0.7</v>
      </c>
      <c r="AJ197" s="30">
        <v>-5.7</v>
      </c>
      <c r="AK197" s="30">
        <v>-11.6</v>
      </c>
      <c r="AL197" s="30">
        <v>1</v>
      </c>
    </row>
    <row r="198" spans="1:38" x14ac:dyDescent="0.25">
      <c r="A198" s="31" t="s">
        <v>822</v>
      </c>
      <c r="B198" s="30">
        <v>-48</v>
      </c>
      <c r="C198" s="30">
        <v>-47</v>
      </c>
      <c r="D198" s="30">
        <v>-45</v>
      </c>
      <c r="E198" s="30">
        <v>-43</v>
      </c>
      <c r="F198" s="30">
        <v>-23</v>
      </c>
      <c r="G198" s="30">
        <v>-53</v>
      </c>
      <c r="H198" s="30">
        <v>9.4</v>
      </c>
      <c r="I198" s="30">
        <v>221</v>
      </c>
      <c r="J198" s="30">
        <v>-12.7</v>
      </c>
      <c r="K198" s="30">
        <v>285</v>
      </c>
      <c r="L198" s="30">
        <v>-8.8000000000000007</v>
      </c>
      <c r="M198" s="30">
        <v>303</v>
      </c>
      <c r="N198" s="30">
        <v>-7.8</v>
      </c>
      <c r="O198" s="30">
        <v>80</v>
      </c>
      <c r="P198" s="30">
        <v>80</v>
      </c>
      <c r="Q198" s="30">
        <v>154</v>
      </c>
      <c r="R198" s="30" t="s">
        <v>155</v>
      </c>
      <c r="S198" s="30">
        <v>5.4</v>
      </c>
      <c r="T198" s="30">
        <v>4.3</v>
      </c>
      <c r="U198" s="34">
        <v>0</v>
      </c>
      <c r="V198" s="35">
        <v>5</v>
      </c>
      <c r="Y198" s="31" t="s">
        <v>520</v>
      </c>
      <c r="Z198" s="30">
        <v>-20</v>
      </c>
      <c r="AA198" s="30">
        <v>-18.899999999999999</v>
      </c>
      <c r="AB198" s="30">
        <v>-11.7</v>
      </c>
      <c r="AC198" s="30">
        <v>-7.2</v>
      </c>
      <c r="AD198" s="30">
        <v>0.4</v>
      </c>
      <c r="AE198" s="30">
        <v>9.1999999999999993</v>
      </c>
      <c r="AF198" s="30">
        <v>14.4</v>
      </c>
      <c r="AG198" s="30">
        <v>10.7</v>
      </c>
      <c r="AH198" s="30">
        <v>5.5</v>
      </c>
      <c r="AI198" s="30">
        <v>-2.9</v>
      </c>
      <c r="AJ198" s="30">
        <v>-11.9</v>
      </c>
      <c r="AK198" s="30">
        <v>-16.5</v>
      </c>
      <c r="AL198" s="30">
        <v>-4.0999999999999996</v>
      </c>
    </row>
    <row r="199" spans="1:38" x14ac:dyDescent="0.25">
      <c r="A199" s="31" t="s">
        <v>823</v>
      </c>
      <c r="B199" s="30">
        <v>-50</v>
      </c>
      <c r="C199" s="30">
        <v>-48</v>
      </c>
      <c r="D199" s="30">
        <v>-46</v>
      </c>
      <c r="E199" s="30">
        <v>-43</v>
      </c>
      <c r="F199" s="30">
        <v>-23</v>
      </c>
      <c r="G199" s="30">
        <v>-55</v>
      </c>
      <c r="H199" s="30">
        <v>8.3000000000000007</v>
      </c>
      <c r="I199" s="30">
        <v>205</v>
      </c>
      <c r="J199" s="30">
        <v>-11.7</v>
      </c>
      <c r="K199" s="30">
        <v>268</v>
      </c>
      <c r="L199" s="30">
        <v>-7.9</v>
      </c>
      <c r="M199" s="30">
        <v>288</v>
      </c>
      <c r="N199" s="30">
        <v>-6.8</v>
      </c>
      <c r="O199" s="30">
        <v>80</v>
      </c>
      <c r="P199" s="30">
        <v>80</v>
      </c>
      <c r="Q199" s="30">
        <v>184</v>
      </c>
      <c r="R199" s="30" t="s">
        <v>185</v>
      </c>
      <c r="S199" s="30">
        <v>4.5</v>
      </c>
      <c r="T199" s="30">
        <v>3.6</v>
      </c>
      <c r="U199" s="34">
        <v>0</v>
      </c>
      <c r="V199" s="35">
        <v>5</v>
      </c>
      <c r="Y199" s="31" t="s">
        <v>519</v>
      </c>
      <c r="Z199" s="30">
        <v>-19.2</v>
      </c>
      <c r="AA199" s="30">
        <v>-17.7</v>
      </c>
      <c r="AB199" s="30">
        <v>-9</v>
      </c>
      <c r="AC199" s="30">
        <v>-3.4</v>
      </c>
      <c r="AD199" s="30">
        <v>3.6</v>
      </c>
      <c r="AE199" s="30">
        <v>11.7</v>
      </c>
      <c r="AF199" s="30">
        <v>16</v>
      </c>
      <c r="AG199" s="30">
        <v>12</v>
      </c>
      <c r="AH199" s="30">
        <v>6.5</v>
      </c>
      <c r="AI199" s="30">
        <v>-1.3</v>
      </c>
      <c r="AJ199" s="30">
        <v>-10.199999999999999</v>
      </c>
      <c r="AK199" s="30">
        <v>-15.6</v>
      </c>
      <c r="AL199" s="30">
        <v>-2.2000000000000002</v>
      </c>
    </row>
    <row r="200" spans="1:38" x14ac:dyDescent="0.25">
      <c r="A200" s="31" t="s">
        <v>824</v>
      </c>
      <c r="B200" s="30">
        <v>-41</v>
      </c>
      <c r="C200" s="30">
        <v>-41</v>
      </c>
      <c r="D200" s="30">
        <v>-39</v>
      </c>
      <c r="E200" s="30">
        <v>-36</v>
      </c>
      <c r="F200" s="30">
        <v>-18</v>
      </c>
      <c r="G200" s="30">
        <v>-47</v>
      </c>
      <c r="H200" s="30">
        <v>7.5</v>
      </c>
      <c r="I200" s="30">
        <v>173</v>
      </c>
      <c r="J200" s="30">
        <v>-9.6</v>
      </c>
      <c r="K200" s="30">
        <v>243</v>
      </c>
      <c r="L200" s="30">
        <v>-5.6</v>
      </c>
      <c r="M200" s="30">
        <v>263</v>
      </c>
      <c r="N200" s="30">
        <v>-4.5</v>
      </c>
      <c r="O200" s="30">
        <v>83</v>
      </c>
      <c r="P200" s="30">
        <v>82</v>
      </c>
      <c r="Q200" s="30">
        <v>169</v>
      </c>
      <c r="R200" s="30" t="s">
        <v>150</v>
      </c>
      <c r="S200" s="30">
        <v>5</v>
      </c>
      <c r="T200" s="30">
        <v>3.5</v>
      </c>
      <c r="U200" s="34">
        <v>0</v>
      </c>
      <c r="V200" s="35">
        <v>5</v>
      </c>
      <c r="Y200" s="31" t="s">
        <v>518</v>
      </c>
      <c r="Z200" s="30">
        <v>-15.2</v>
      </c>
      <c r="AA200" s="30">
        <v>-13.2</v>
      </c>
      <c r="AB200" s="30">
        <v>-5.3</v>
      </c>
      <c r="AC200" s="30">
        <v>1.5</v>
      </c>
      <c r="AD200" s="30">
        <v>8.1999999999999993</v>
      </c>
      <c r="AE200" s="30">
        <v>14.3</v>
      </c>
      <c r="AF200" s="30">
        <v>17.2</v>
      </c>
      <c r="AG200" s="30">
        <v>13.6</v>
      </c>
      <c r="AH200" s="30">
        <v>7.9</v>
      </c>
      <c r="AI200" s="30">
        <v>1</v>
      </c>
      <c r="AJ200" s="30">
        <v>-6.5</v>
      </c>
      <c r="AK200" s="30">
        <v>-11.9</v>
      </c>
      <c r="AL200" s="30">
        <v>1</v>
      </c>
    </row>
    <row r="201" spans="1:38" x14ac:dyDescent="0.25">
      <c r="A201" s="31" t="s">
        <v>825</v>
      </c>
      <c r="B201" s="30">
        <v>-46</v>
      </c>
      <c r="C201" s="30">
        <v>-46</v>
      </c>
      <c r="D201" s="30">
        <v>-43</v>
      </c>
      <c r="E201" s="30">
        <v>-41</v>
      </c>
      <c r="F201" s="30">
        <v>-21</v>
      </c>
      <c r="G201" s="30">
        <v>-51</v>
      </c>
      <c r="H201" s="30">
        <v>8.1999999999999993</v>
      </c>
      <c r="I201" s="30">
        <v>188</v>
      </c>
      <c r="J201" s="30">
        <v>-11</v>
      </c>
      <c r="K201" s="30">
        <v>258</v>
      </c>
      <c r="L201" s="30">
        <v>-6.9</v>
      </c>
      <c r="M201" s="30">
        <v>277</v>
      </c>
      <c r="N201" s="30">
        <v>-5.8</v>
      </c>
      <c r="O201" s="30">
        <v>81</v>
      </c>
      <c r="P201" s="30">
        <v>80</v>
      </c>
      <c r="Q201" s="30">
        <v>202</v>
      </c>
      <c r="R201" s="30" t="s">
        <v>150</v>
      </c>
      <c r="S201" s="30">
        <v>3.6</v>
      </c>
      <c r="T201" s="30">
        <v>2.9</v>
      </c>
      <c r="U201" s="34">
        <v>0</v>
      </c>
      <c r="V201" s="35">
        <v>5</v>
      </c>
      <c r="Y201" s="31" t="s">
        <v>517</v>
      </c>
      <c r="Z201" s="30">
        <v>-17.899999999999999</v>
      </c>
      <c r="AA201" s="30">
        <v>-15.9</v>
      </c>
      <c r="AB201" s="30">
        <v>-6.9</v>
      </c>
      <c r="AC201" s="30">
        <v>-0.4</v>
      </c>
      <c r="AD201" s="30">
        <v>6.1</v>
      </c>
      <c r="AE201" s="30">
        <v>13</v>
      </c>
      <c r="AF201" s="30">
        <v>16.3</v>
      </c>
      <c r="AG201" s="30">
        <v>12.5</v>
      </c>
      <c r="AH201" s="30">
        <v>6.8</v>
      </c>
      <c r="AI201" s="30">
        <v>-0.5</v>
      </c>
      <c r="AJ201" s="30">
        <v>-8.8000000000000007</v>
      </c>
      <c r="AK201" s="30">
        <v>-14.6</v>
      </c>
      <c r="AL201" s="30">
        <v>-0.9</v>
      </c>
    </row>
    <row r="202" spans="1:38" x14ac:dyDescent="0.25">
      <c r="A202" s="31" t="s">
        <v>826</v>
      </c>
      <c r="B202" s="30">
        <v>-46</v>
      </c>
      <c r="C202" s="30">
        <v>-44</v>
      </c>
      <c r="D202" s="30">
        <v>-43</v>
      </c>
      <c r="E202" s="30">
        <v>-41</v>
      </c>
      <c r="F202" s="30">
        <v>-21</v>
      </c>
      <c r="G202" s="30">
        <v>-53</v>
      </c>
      <c r="H202" s="30">
        <v>7.9</v>
      </c>
      <c r="I202" s="30">
        <v>213</v>
      </c>
      <c r="J202" s="30">
        <v>-11.6</v>
      </c>
      <c r="K202" s="30">
        <v>278</v>
      </c>
      <c r="L202" s="30">
        <v>-7.9</v>
      </c>
      <c r="M202" s="30">
        <v>299</v>
      </c>
      <c r="N202" s="30">
        <v>-6.7</v>
      </c>
      <c r="O202" s="30">
        <v>83</v>
      </c>
      <c r="P202" s="30">
        <v>83</v>
      </c>
      <c r="Q202" s="30">
        <v>151</v>
      </c>
      <c r="R202" s="30" t="s">
        <v>150</v>
      </c>
      <c r="S202" s="30">
        <v>4.2</v>
      </c>
      <c r="T202" s="30">
        <v>4.2</v>
      </c>
      <c r="U202" s="34">
        <v>0</v>
      </c>
      <c r="V202" s="35">
        <v>5</v>
      </c>
      <c r="Y202" s="31" t="s">
        <v>516</v>
      </c>
      <c r="Z202" s="30">
        <v>-19</v>
      </c>
      <c r="AA202" s="30">
        <v>-17.8</v>
      </c>
      <c r="AB202" s="30">
        <v>-9.6999999999999993</v>
      </c>
      <c r="AC202" s="30">
        <v>-4.8</v>
      </c>
      <c r="AD202" s="30">
        <v>1.9</v>
      </c>
      <c r="AE202" s="30">
        <v>10.1</v>
      </c>
      <c r="AF202" s="30">
        <v>14.8</v>
      </c>
      <c r="AG202" s="30">
        <v>11</v>
      </c>
      <c r="AH202" s="30">
        <v>5.9</v>
      </c>
      <c r="AI202" s="30">
        <v>-1.9</v>
      </c>
      <c r="AJ202" s="30">
        <v>-10.4</v>
      </c>
      <c r="AK202" s="30">
        <v>-15.4</v>
      </c>
      <c r="AL202" s="30">
        <v>-2.9</v>
      </c>
    </row>
    <row r="203" spans="1:38" x14ac:dyDescent="0.25">
      <c r="A203" s="31" t="s">
        <v>827</v>
      </c>
      <c r="B203" s="30">
        <v>-45</v>
      </c>
      <c r="C203" s="30">
        <v>-44</v>
      </c>
      <c r="D203" s="30">
        <v>-41</v>
      </c>
      <c r="E203" s="30">
        <v>-39</v>
      </c>
      <c r="F203" s="30">
        <v>-20</v>
      </c>
      <c r="G203" s="30">
        <v>-52</v>
      </c>
      <c r="H203" s="30">
        <v>7.8</v>
      </c>
      <c r="I203" s="30">
        <v>202</v>
      </c>
      <c r="J203" s="30">
        <v>-10.6</v>
      </c>
      <c r="K203" s="30">
        <v>270</v>
      </c>
      <c r="L203" s="30">
        <v>-6.9</v>
      </c>
      <c r="M203" s="30">
        <v>290</v>
      </c>
      <c r="N203" s="30">
        <v>-5.8</v>
      </c>
      <c r="O203" s="30">
        <v>82</v>
      </c>
      <c r="P203" s="30">
        <v>82</v>
      </c>
      <c r="Q203" s="30">
        <v>166</v>
      </c>
      <c r="R203" s="30" t="s">
        <v>146</v>
      </c>
      <c r="S203" s="30">
        <v>4.8</v>
      </c>
      <c r="T203" s="30">
        <v>4.0999999999999996</v>
      </c>
      <c r="U203" s="34">
        <v>0</v>
      </c>
      <c r="V203" s="35">
        <v>5</v>
      </c>
      <c r="Y203" s="31" t="s">
        <v>515</v>
      </c>
      <c r="Z203" s="30">
        <v>-17.7</v>
      </c>
      <c r="AA203" s="30">
        <v>-15.8</v>
      </c>
      <c r="AB203" s="30">
        <v>-8.1</v>
      </c>
      <c r="AC203" s="30">
        <v>-2.8</v>
      </c>
      <c r="AD203" s="30">
        <v>3.7</v>
      </c>
      <c r="AE203" s="30">
        <v>11.2</v>
      </c>
      <c r="AF203" s="30">
        <v>15.3</v>
      </c>
      <c r="AG203" s="30">
        <v>11.7</v>
      </c>
      <c r="AH203" s="30">
        <v>6.4</v>
      </c>
      <c r="AI203" s="30">
        <v>-0.9</v>
      </c>
      <c r="AJ203" s="30">
        <v>-8.9</v>
      </c>
      <c r="AK203" s="30">
        <v>-13.8</v>
      </c>
      <c r="AL203" s="30">
        <v>-1.6</v>
      </c>
    </row>
    <row r="204" spans="1:38" x14ac:dyDescent="0.25">
      <c r="A204" s="31" t="s">
        <v>514</v>
      </c>
      <c r="B204" s="30">
        <v>-53</v>
      </c>
      <c r="C204" s="30">
        <v>-50</v>
      </c>
      <c r="D204" s="30">
        <v>-49</v>
      </c>
      <c r="E204" s="30">
        <v>-45</v>
      </c>
      <c r="F204" s="30">
        <v>-25</v>
      </c>
      <c r="G204" s="30">
        <v>-58</v>
      </c>
      <c r="H204" s="30">
        <v>10</v>
      </c>
      <c r="I204" s="30">
        <v>200</v>
      </c>
      <c r="J204" s="30">
        <v>-12</v>
      </c>
      <c r="K204" s="30">
        <v>268</v>
      </c>
      <c r="L204" s="30">
        <v>-7.9</v>
      </c>
      <c r="M204" s="30">
        <v>286</v>
      </c>
      <c r="N204" s="30">
        <v>-6.8</v>
      </c>
      <c r="O204" s="30">
        <v>82</v>
      </c>
      <c r="P204" s="30">
        <v>82</v>
      </c>
      <c r="Q204" s="30">
        <v>198</v>
      </c>
      <c r="R204" s="30" t="s">
        <v>150</v>
      </c>
      <c r="S204" s="30">
        <v>5</v>
      </c>
      <c r="T204" s="30">
        <v>3.3</v>
      </c>
      <c r="U204" s="34">
        <v>0</v>
      </c>
      <c r="V204" s="35">
        <v>5</v>
      </c>
      <c r="Y204" s="31" t="s">
        <v>514</v>
      </c>
      <c r="Z204" s="30">
        <v>-19.7</v>
      </c>
      <c r="AA204" s="30">
        <v>-17.7</v>
      </c>
      <c r="AB204" s="30">
        <v>-12</v>
      </c>
      <c r="AC204" s="30">
        <v>-2.4</v>
      </c>
      <c r="AD204" s="30">
        <v>3.7</v>
      </c>
      <c r="AE204" s="30">
        <v>11.4</v>
      </c>
      <c r="AF204" s="30">
        <v>15.2</v>
      </c>
      <c r="AG204" s="30">
        <v>12.3</v>
      </c>
      <c r="AH204" s="30">
        <v>6.4</v>
      </c>
      <c r="AI204" s="30">
        <v>-1.8</v>
      </c>
      <c r="AJ204" s="30">
        <v>-10.199999999999999</v>
      </c>
      <c r="AK204" s="30">
        <v>-16.899999999999999</v>
      </c>
      <c r="AL204" s="30">
        <v>-2.6</v>
      </c>
    </row>
    <row r="205" spans="1:38" x14ac:dyDescent="0.25">
      <c r="A205" s="31" t="s">
        <v>513</v>
      </c>
      <c r="B205" s="30">
        <v>-46</v>
      </c>
      <c r="C205" s="30">
        <v>-44</v>
      </c>
      <c r="D205" s="30">
        <v>-41</v>
      </c>
      <c r="E205" s="30">
        <v>-39</v>
      </c>
      <c r="F205" s="30">
        <v>-22</v>
      </c>
      <c r="G205" s="30">
        <v>-49</v>
      </c>
      <c r="H205" s="30">
        <v>7.4</v>
      </c>
      <c r="I205" s="30">
        <v>189</v>
      </c>
      <c r="J205" s="30">
        <v>-10.4</v>
      </c>
      <c r="K205" s="30">
        <v>261</v>
      </c>
      <c r="L205" s="30">
        <v>-6.4</v>
      </c>
      <c r="M205" s="30">
        <v>280</v>
      </c>
      <c r="N205" s="30">
        <v>-5.4</v>
      </c>
      <c r="O205" s="30">
        <v>83</v>
      </c>
      <c r="P205" s="30">
        <v>83</v>
      </c>
      <c r="Q205" s="30">
        <v>161</v>
      </c>
      <c r="R205" s="30" t="s">
        <v>155</v>
      </c>
      <c r="S205" s="30">
        <v>4.8</v>
      </c>
      <c r="T205" s="30">
        <v>4.0999999999999996</v>
      </c>
      <c r="U205" s="34">
        <v>0</v>
      </c>
      <c r="V205" s="35">
        <v>5</v>
      </c>
      <c r="Y205" s="31" t="s">
        <v>513</v>
      </c>
      <c r="Z205" s="30">
        <v>-17.3</v>
      </c>
      <c r="AA205" s="30">
        <v>-15.8</v>
      </c>
      <c r="AB205" s="30">
        <v>-8.9</v>
      </c>
      <c r="AC205" s="30">
        <v>-0.5</v>
      </c>
      <c r="AD205" s="30">
        <v>5.4</v>
      </c>
      <c r="AE205" s="30">
        <v>12.1</v>
      </c>
      <c r="AF205" s="30">
        <v>15.7</v>
      </c>
      <c r="AG205" s="30">
        <v>12.7</v>
      </c>
      <c r="AH205" s="30">
        <v>6.6</v>
      </c>
      <c r="AI205" s="30">
        <v>-1.4</v>
      </c>
      <c r="AJ205" s="30">
        <v>-8.5</v>
      </c>
      <c r="AK205" s="30">
        <v>-13.6</v>
      </c>
      <c r="AL205" s="30">
        <v>-1.1000000000000001</v>
      </c>
    </row>
    <row r="206" spans="1:38" x14ac:dyDescent="0.25">
      <c r="A206" s="33" t="s">
        <v>512</v>
      </c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34"/>
      <c r="Y206" s="33" t="s">
        <v>511</v>
      </c>
      <c r="Z206" s="70"/>
      <c r="AA206" s="70"/>
      <c r="AB206" s="70"/>
      <c r="AC206" s="70"/>
      <c r="AD206" s="70"/>
      <c r="AE206" s="70"/>
      <c r="AF206" s="70"/>
      <c r="AG206" s="70"/>
      <c r="AH206" s="70"/>
      <c r="AI206" s="70"/>
      <c r="AJ206" s="70"/>
      <c r="AK206" s="70"/>
      <c r="AL206" s="70"/>
    </row>
    <row r="207" spans="1:38" x14ac:dyDescent="0.25">
      <c r="A207" s="31" t="s">
        <v>510</v>
      </c>
      <c r="B207" s="30">
        <v>-40</v>
      </c>
      <c r="C207" s="30">
        <v>-35</v>
      </c>
      <c r="D207" s="30">
        <v>-34</v>
      </c>
      <c r="E207" s="30">
        <v>-31</v>
      </c>
      <c r="F207" s="30">
        <v>-17</v>
      </c>
      <c r="G207" s="30">
        <v>-46</v>
      </c>
      <c r="H207" s="30">
        <v>6.5</v>
      </c>
      <c r="I207" s="30">
        <v>154</v>
      </c>
      <c r="J207" s="30">
        <v>-7.4</v>
      </c>
      <c r="K207" s="30">
        <v>222</v>
      </c>
      <c r="L207" s="30">
        <v>-3.9</v>
      </c>
      <c r="M207" s="30">
        <v>239</v>
      </c>
      <c r="N207" s="30">
        <v>-3</v>
      </c>
      <c r="O207" s="30">
        <v>85</v>
      </c>
      <c r="P207" s="30">
        <v>81</v>
      </c>
      <c r="Q207" s="30">
        <v>169</v>
      </c>
      <c r="R207" s="30" t="s">
        <v>150</v>
      </c>
      <c r="S207" s="30">
        <v>5.8</v>
      </c>
      <c r="T207" s="30">
        <v>4.9000000000000004</v>
      </c>
      <c r="U207" s="34">
        <v>0</v>
      </c>
      <c r="Y207" s="31" t="s">
        <v>510</v>
      </c>
      <c r="Z207" s="30">
        <v>-11.8</v>
      </c>
      <c r="AA207" s="30">
        <v>-11.1</v>
      </c>
      <c r="AB207" s="30">
        <v>-5.3</v>
      </c>
      <c r="AC207" s="30">
        <v>3.2</v>
      </c>
      <c r="AD207" s="30">
        <v>10.9</v>
      </c>
      <c r="AE207" s="30">
        <v>15.5</v>
      </c>
      <c r="AF207" s="30">
        <v>17.8</v>
      </c>
      <c r="AG207" s="30">
        <v>16.100000000000001</v>
      </c>
      <c r="AH207" s="30">
        <v>10</v>
      </c>
      <c r="AI207" s="30">
        <v>3.2</v>
      </c>
      <c r="AJ207" s="30">
        <v>-2.9</v>
      </c>
      <c r="AK207" s="30">
        <v>-8.6999999999999993</v>
      </c>
      <c r="AL207" s="30">
        <v>3.1</v>
      </c>
    </row>
    <row r="208" spans="1:38" x14ac:dyDescent="0.25">
      <c r="A208" s="31" t="s">
        <v>509</v>
      </c>
      <c r="B208" s="30">
        <v>-41</v>
      </c>
      <c r="C208" s="30">
        <v>-37</v>
      </c>
      <c r="D208" s="30">
        <v>-36</v>
      </c>
      <c r="E208" s="30">
        <v>-32</v>
      </c>
      <c r="F208" s="30">
        <v>-18</v>
      </c>
      <c r="G208" s="30">
        <v>-46</v>
      </c>
      <c r="H208" s="30">
        <v>6.9</v>
      </c>
      <c r="I208" s="30">
        <v>160</v>
      </c>
      <c r="J208" s="30">
        <v>-7.9</v>
      </c>
      <c r="K208" s="30">
        <v>230</v>
      </c>
      <c r="L208" s="30">
        <v>-4.3</v>
      </c>
      <c r="M208" s="30">
        <v>248</v>
      </c>
      <c r="N208" s="30">
        <v>-3.3</v>
      </c>
      <c r="O208" s="30">
        <v>85</v>
      </c>
      <c r="P208" s="30">
        <v>84</v>
      </c>
      <c r="Q208" s="30">
        <v>175</v>
      </c>
      <c r="R208" s="30" t="s">
        <v>150</v>
      </c>
      <c r="S208" s="31"/>
      <c r="T208" s="30">
        <v>3.9</v>
      </c>
      <c r="U208" s="34">
        <v>0</v>
      </c>
      <c r="Y208" s="31" t="s">
        <v>509</v>
      </c>
      <c r="Z208" s="30">
        <v>-12.8</v>
      </c>
      <c r="AA208" s="30">
        <v>-11.6</v>
      </c>
      <c r="AB208" s="30">
        <v>-5.7</v>
      </c>
      <c r="AC208" s="30">
        <v>2.5</v>
      </c>
      <c r="AD208" s="30">
        <v>9.6999999999999993</v>
      </c>
      <c r="AE208" s="30">
        <v>14.8</v>
      </c>
      <c r="AF208" s="30">
        <v>17</v>
      </c>
      <c r="AG208" s="30">
        <v>15.1</v>
      </c>
      <c r="AH208" s="30">
        <v>9.1999999999999993</v>
      </c>
      <c r="AI208" s="30">
        <v>2.4</v>
      </c>
      <c r="AJ208" s="30">
        <v>-3.6</v>
      </c>
      <c r="AK208" s="30">
        <v>-9.8000000000000007</v>
      </c>
      <c r="AL208" s="30">
        <v>2.2999999999999998</v>
      </c>
    </row>
    <row r="209" spans="1:38" x14ac:dyDescent="0.25">
      <c r="A209" s="31" t="s">
        <v>508</v>
      </c>
      <c r="B209" s="30">
        <v>-40</v>
      </c>
      <c r="C209" s="30">
        <v>-37</v>
      </c>
      <c r="D209" s="30">
        <v>-36</v>
      </c>
      <c r="E209" s="30">
        <v>-32</v>
      </c>
      <c r="F209" s="30">
        <v>-18</v>
      </c>
      <c r="G209" s="30">
        <v>-44</v>
      </c>
      <c r="H209" s="30">
        <v>6.9</v>
      </c>
      <c r="I209" s="30">
        <v>162</v>
      </c>
      <c r="J209" s="30">
        <v>-8.3000000000000007</v>
      </c>
      <c r="K209" s="30">
        <v>228</v>
      </c>
      <c r="L209" s="30">
        <v>-4.7</v>
      </c>
      <c r="M209" s="30">
        <v>245</v>
      </c>
      <c r="N209" s="30">
        <v>-3.7</v>
      </c>
      <c r="O209" s="30">
        <v>86</v>
      </c>
      <c r="P209" s="30">
        <v>85</v>
      </c>
      <c r="Q209" s="30">
        <v>273</v>
      </c>
      <c r="R209" s="30" t="s">
        <v>150</v>
      </c>
      <c r="S209" s="30">
        <v>4.5</v>
      </c>
      <c r="T209" s="30">
        <v>4.2</v>
      </c>
      <c r="U209" s="34">
        <v>0</v>
      </c>
      <c r="Y209" s="31" t="s">
        <v>508</v>
      </c>
      <c r="Z209" s="30">
        <v>-13</v>
      </c>
      <c r="AA209" s="30">
        <v>-12.1</v>
      </c>
      <c r="AB209" s="30">
        <v>-6</v>
      </c>
      <c r="AC209" s="30">
        <v>2.9</v>
      </c>
      <c r="AD209" s="30">
        <v>10.199999999999999</v>
      </c>
      <c r="AE209" s="30">
        <v>15.1</v>
      </c>
      <c r="AF209" s="30">
        <v>17.399999999999999</v>
      </c>
      <c r="AG209" s="30">
        <v>15.1</v>
      </c>
      <c r="AH209" s="30">
        <v>9.3000000000000007</v>
      </c>
      <c r="AI209" s="30">
        <v>2.2999999999999998</v>
      </c>
      <c r="AJ209" s="30">
        <v>-4.7</v>
      </c>
      <c r="AK209" s="30">
        <v>-10.6</v>
      </c>
      <c r="AL209" s="30">
        <v>2.2000000000000002</v>
      </c>
    </row>
    <row r="210" spans="1:38" x14ac:dyDescent="0.25">
      <c r="A210" s="33" t="s">
        <v>507</v>
      </c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34"/>
      <c r="Y210" s="33" t="s">
        <v>506</v>
      </c>
      <c r="Z210" s="70"/>
      <c r="AA210" s="70"/>
      <c r="AB210" s="70"/>
      <c r="AC210" s="70"/>
      <c r="AD210" s="70"/>
      <c r="AE210" s="70"/>
      <c r="AF210" s="70"/>
      <c r="AG210" s="70"/>
      <c r="AH210" s="70"/>
      <c r="AI210" s="70"/>
      <c r="AJ210" s="70"/>
      <c r="AK210" s="70"/>
      <c r="AL210" s="70"/>
    </row>
    <row r="211" spans="1:38" x14ac:dyDescent="0.25">
      <c r="A211" s="31" t="s">
        <v>505</v>
      </c>
      <c r="B211" s="30">
        <v>-14</v>
      </c>
      <c r="C211" s="30">
        <v>-12</v>
      </c>
      <c r="D211" s="30">
        <v>-11</v>
      </c>
      <c r="E211" s="30">
        <v>-9</v>
      </c>
      <c r="F211" s="30">
        <v>-4</v>
      </c>
      <c r="G211" s="30">
        <v>-23</v>
      </c>
      <c r="H211" s="30">
        <v>7.9</v>
      </c>
      <c r="I211" s="30">
        <v>0</v>
      </c>
      <c r="J211" s="31"/>
      <c r="K211" s="30">
        <v>155</v>
      </c>
      <c r="L211" s="30">
        <v>3</v>
      </c>
      <c r="M211" s="30">
        <v>181</v>
      </c>
      <c r="N211" s="30">
        <v>3.8</v>
      </c>
      <c r="O211" s="30">
        <v>83</v>
      </c>
      <c r="P211" s="30">
        <v>80</v>
      </c>
      <c r="Q211" s="30">
        <v>998</v>
      </c>
      <c r="R211" s="30" t="s">
        <v>165</v>
      </c>
      <c r="S211" s="30" t="s">
        <v>41</v>
      </c>
      <c r="T211" s="30">
        <v>1.4</v>
      </c>
      <c r="U211" s="34">
        <v>0</v>
      </c>
      <c r="V211" s="29" t="s">
        <v>246</v>
      </c>
      <c r="Y211" s="31" t="s">
        <v>505</v>
      </c>
      <c r="Z211" s="30">
        <v>0.3</v>
      </c>
      <c r="AA211" s="30">
        <v>1.3</v>
      </c>
      <c r="AB211" s="30">
        <v>4.2</v>
      </c>
      <c r="AC211" s="30">
        <v>9.5</v>
      </c>
      <c r="AD211" s="30">
        <v>14.2</v>
      </c>
      <c r="AE211" s="30">
        <v>17.100000000000001</v>
      </c>
      <c r="AF211" s="30">
        <v>19.5</v>
      </c>
      <c r="AG211" s="30">
        <v>19.399999999999999</v>
      </c>
      <c r="AH211" s="30">
        <v>15.6</v>
      </c>
      <c r="AI211" s="30">
        <v>10.8</v>
      </c>
      <c r="AJ211" s="30">
        <v>6.9</v>
      </c>
      <c r="AK211" s="30">
        <v>2.2000000000000002</v>
      </c>
      <c r="AL211" s="30">
        <v>10.1</v>
      </c>
    </row>
    <row r="212" spans="1:38" x14ac:dyDescent="0.25">
      <c r="A212" s="31" t="s">
        <v>828</v>
      </c>
      <c r="B212" s="30">
        <v>-23</v>
      </c>
      <c r="C212" s="30">
        <v>-20</v>
      </c>
      <c r="D212" s="30">
        <v>-21</v>
      </c>
      <c r="E212" s="30">
        <v>-16</v>
      </c>
      <c r="F212" s="30">
        <v>-5</v>
      </c>
      <c r="G212" s="30">
        <v>-36</v>
      </c>
      <c r="H212" s="30">
        <v>7</v>
      </c>
      <c r="I212" s="30">
        <v>41</v>
      </c>
      <c r="J212" s="30">
        <v>-0.2</v>
      </c>
      <c r="K212" s="30">
        <v>145</v>
      </c>
      <c r="L212" s="30">
        <v>2.5</v>
      </c>
      <c r="M212" s="30">
        <v>165</v>
      </c>
      <c r="N212" s="30">
        <v>3.3</v>
      </c>
      <c r="O212" s="30">
        <v>81</v>
      </c>
      <c r="P212" s="30">
        <v>74</v>
      </c>
      <c r="Q212" s="30">
        <v>290</v>
      </c>
      <c r="R212" s="30" t="s">
        <v>146</v>
      </c>
      <c r="S212" s="30">
        <v>3.7</v>
      </c>
      <c r="T212" s="30">
        <v>2.7</v>
      </c>
      <c r="U212" s="34">
        <v>0</v>
      </c>
      <c r="V212" s="29" t="s">
        <v>246</v>
      </c>
      <c r="Y212" s="31" t="s">
        <v>504</v>
      </c>
      <c r="Z212" s="30">
        <v>-0.2</v>
      </c>
      <c r="AA212" s="30">
        <v>1</v>
      </c>
      <c r="AB212" s="30">
        <v>5.4</v>
      </c>
      <c r="AC212" s="30">
        <v>12.2</v>
      </c>
      <c r="AD212" s="30">
        <v>17.3</v>
      </c>
      <c r="AE212" s="30">
        <v>21</v>
      </c>
      <c r="AF212" s="30">
        <v>23.8</v>
      </c>
      <c r="AG212" s="30">
        <v>23.2</v>
      </c>
      <c r="AH212" s="30">
        <v>18.100000000000001</v>
      </c>
      <c r="AI212" s="30">
        <v>11.9</v>
      </c>
      <c r="AJ212" s="30">
        <v>6.3</v>
      </c>
      <c r="AK212" s="30">
        <v>2</v>
      </c>
      <c r="AL212" s="30">
        <v>11.8</v>
      </c>
    </row>
    <row r="213" spans="1:38" x14ac:dyDescent="0.25">
      <c r="A213" s="31" t="s">
        <v>503</v>
      </c>
      <c r="B213" s="30">
        <v>-27</v>
      </c>
      <c r="C213" s="30">
        <v>-24</v>
      </c>
      <c r="D213" s="30">
        <v>-23</v>
      </c>
      <c r="E213" s="30">
        <v>-20</v>
      </c>
      <c r="F213" s="30">
        <v>-16</v>
      </c>
      <c r="G213" s="30">
        <v>-30</v>
      </c>
      <c r="H213" s="30">
        <v>6</v>
      </c>
      <c r="I213" s="30">
        <v>80</v>
      </c>
      <c r="J213" s="30">
        <v>-1.9</v>
      </c>
      <c r="K213" s="30">
        <v>159</v>
      </c>
      <c r="L213" s="30">
        <v>1</v>
      </c>
      <c r="M213" s="30">
        <v>175</v>
      </c>
      <c r="N213" s="30">
        <v>1.8</v>
      </c>
      <c r="O213" s="30">
        <v>85</v>
      </c>
      <c r="P213" s="30">
        <v>75</v>
      </c>
      <c r="Q213" s="30">
        <v>232</v>
      </c>
      <c r="R213" s="30" t="s">
        <v>146</v>
      </c>
      <c r="S213" s="30" t="s">
        <v>41</v>
      </c>
      <c r="T213" s="30">
        <v>4.3</v>
      </c>
      <c r="U213" s="34">
        <v>0</v>
      </c>
      <c r="V213" s="29" t="s">
        <v>246</v>
      </c>
      <c r="Y213" s="31" t="s">
        <v>503</v>
      </c>
      <c r="Z213" s="30">
        <v>-2.5</v>
      </c>
      <c r="AA213" s="30">
        <v>-2.1</v>
      </c>
      <c r="AB213" s="30">
        <v>2.7</v>
      </c>
      <c r="AC213" s="30">
        <v>10.6</v>
      </c>
      <c r="AD213" s="30">
        <v>17.100000000000001</v>
      </c>
      <c r="AE213" s="30">
        <v>21.5</v>
      </c>
      <c r="AF213" s="30">
        <v>24.2</v>
      </c>
      <c r="AG213" s="30">
        <v>23.2</v>
      </c>
      <c r="AH213" s="30">
        <v>17.899999999999999</v>
      </c>
      <c r="AI213" s="30">
        <v>11.1</v>
      </c>
      <c r="AJ213" s="30">
        <v>5.0999999999999996</v>
      </c>
      <c r="AK213" s="30">
        <v>0.2</v>
      </c>
      <c r="AL213" s="30">
        <v>10.8</v>
      </c>
    </row>
    <row r="214" spans="1:38" x14ac:dyDescent="0.25">
      <c r="A214" s="31" t="s">
        <v>829</v>
      </c>
      <c r="B214" s="30">
        <v>-7</v>
      </c>
      <c r="C214" s="30">
        <v>-5</v>
      </c>
      <c r="D214" s="30">
        <v>-3</v>
      </c>
      <c r="E214" s="30">
        <v>-2</v>
      </c>
      <c r="F214" s="30">
        <v>3</v>
      </c>
      <c r="G214" s="30">
        <v>-13</v>
      </c>
      <c r="H214" s="30">
        <v>6.2</v>
      </c>
      <c r="I214" s="30">
        <v>0</v>
      </c>
      <c r="J214" s="30" t="s">
        <v>41</v>
      </c>
      <c r="K214" s="30">
        <v>94</v>
      </c>
      <c r="L214" s="30">
        <v>6.6</v>
      </c>
      <c r="M214" s="30">
        <v>129</v>
      </c>
      <c r="N214" s="30">
        <v>7.2</v>
      </c>
      <c r="O214" s="30">
        <v>72</v>
      </c>
      <c r="P214" s="30">
        <v>68</v>
      </c>
      <c r="Q214" s="30">
        <v>789</v>
      </c>
      <c r="R214" s="30" t="s">
        <v>146</v>
      </c>
      <c r="S214" s="30">
        <v>2.5</v>
      </c>
      <c r="T214" s="30">
        <v>3.5</v>
      </c>
      <c r="U214" s="34">
        <v>0</v>
      </c>
      <c r="V214" s="29" t="s">
        <v>246</v>
      </c>
      <c r="Y214" s="31" t="s">
        <v>502</v>
      </c>
      <c r="Z214" s="30">
        <v>6</v>
      </c>
      <c r="AA214" s="30">
        <v>6.2</v>
      </c>
      <c r="AB214" s="30">
        <v>8.3000000000000007</v>
      </c>
      <c r="AC214" s="30">
        <v>12.2</v>
      </c>
      <c r="AD214" s="30">
        <v>16.100000000000001</v>
      </c>
      <c r="AE214" s="30">
        <v>20</v>
      </c>
      <c r="AF214" s="30">
        <v>23</v>
      </c>
      <c r="AG214" s="30">
        <v>23.3</v>
      </c>
      <c r="AH214" s="30">
        <v>19.8</v>
      </c>
      <c r="AI214" s="30">
        <v>15.6</v>
      </c>
      <c r="AJ214" s="30">
        <v>11.3</v>
      </c>
      <c r="AK214" s="30">
        <v>7.9</v>
      </c>
      <c r="AL214" s="30">
        <v>14.1</v>
      </c>
    </row>
    <row r="215" spans="1:38" x14ac:dyDescent="0.25">
      <c r="A215" s="31" t="s">
        <v>830</v>
      </c>
      <c r="B215" s="30">
        <v>-26</v>
      </c>
      <c r="C215" s="30">
        <v>-22</v>
      </c>
      <c r="D215" s="30">
        <v>-21</v>
      </c>
      <c r="E215" s="30">
        <v>-17</v>
      </c>
      <c r="F215" s="30">
        <v>-6</v>
      </c>
      <c r="G215" s="30">
        <v>-32</v>
      </c>
      <c r="H215" s="30">
        <v>6.5</v>
      </c>
      <c r="I215" s="30">
        <v>73</v>
      </c>
      <c r="J215" s="30">
        <v>-1.7</v>
      </c>
      <c r="K215" s="30">
        <v>156</v>
      </c>
      <c r="L215" s="30">
        <v>1.2</v>
      </c>
      <c r="M215" s="30">
        <v>172</v>
      </c>
      <c r="N215" s="30">
        <v>1.9</v>
      </c>
      <c r="O215" s="30">
        <v>85</v>
      </c>
      <c r="P215" s="30">
        <v>78</v>
      </c>
      <c r="Q215" s="30">
        <v>242</v>
      </c>
      <c r="R215" s="30" t="s">
        <v>146</v>
      </c>
      <c r="S215" s="30">
        <v>3.9</v>
      </c>
      <c r="T215" s="30">
        <v>3.6</v>
      </c>
      <c r="U215" s="34">
        <v>0</v>
      </c>
      <c r="V215" s="29" t="s">
        <v>246</v>
      </c>
      <c r="Y215" s="31" t="s">
        <v>501</v>
      </c>
      <c r="Z215" s="30">
        <v>-2.2000000000000002</v>
      </c>
      <c r="AA215" s="30">
        <v>-1.2</v>
      </c>
      <c r="AB215" s="30">
        <v>4</v>
      </c>
      <c r="AC215" s="30">
        <v>11.7</v>
      </c>
      <c r="AD215" s="30">
        <v>17.100000000000001</v>
      </c>
      <c r="AE215" s="30">
        <v>20.8</v>
      </c>
      <c r="AF215" s="30">
        <v>23.6</v>
      </c>
      <c r="AG215" s="30">
        <v>23.1</v>
      </c>
      <c r="AH215" s="30">
        <v>17.7</v>
      </c>
      <c r="AI215" s="30">
        <v>11</v>
      </c>
      <c r="AJ215" s="30">
        <v>4.9000000000000004</v>
      </c>
      <c r="AK215" s="30">
        <v>0.3</v>
      </c>
      <c r="AL215" s="30">
        <v>10.9</v>
      </c>
    </row>
    <row r="216" spans="1:38" x14ac:dyDescent="0.25">
      <c r="A216" s="33" t="s">
        <v>500</v>
      </c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34"/>
      <c r="Y216" s="33" t="s">
        <v>499</v>
      </c>
      <c r="Z216" s="70"/>
      <c r="AA216" s="70"/>
      <c r="AB216" s="70"/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</row>
    <row r="217" spans="1:38" x14ac:dyDescent="0.25">
      <c r="A217" s="31" t="s">
        <v>831</v>
      </c>
      <c r="B217" s="30">
        <v>-57</v>
      </c>
      <c r="C217" s="30">
        <v>-55</v>
      </c>
      <c r="D217" s="30">
        <v>-54</v>
      </c>
      <c r="E217" s="30">
        <v>-53</v>
      </c>
      <c r="F217" s="30">
        <v>-38</v>
      </c>
      <c r="G217" s="30">
        <v>-59</v>
      </c>
      <c r="H217" s="30">
        <v>9.9</v>
      </c>
      <c r="I217" s="30">
        <v>233</v>
      </c>
      <c r="J217" s="30">
        <v>-22</v>
      </c>
      <c r="K217" s="30">
        <v>292</v>
      </c>
      <c r="L217" s="30">
        <v>-16.7</v>
      </c>
      <c r="M217" s="30">
        <v>307</v>
      </c>
      <c r="N217" s="30">
        <v>-15.5</v>
      </c>
      <c r="O217" s="30">
        <v>74</v>
      </c>
      <c r="P217" s="30">
        <v>75</v>
      </c>
      <c r="Q217" s="30">
        <v>124</v>
      </c>
      <c r="R217" s="30" t="s">
        <v>150</v>
      </c>
      <c r="S217" s="30">
        <v>2.9</v>
      </c>
      <c r="T217" s="30">
        <v>1.5</v>
      </c>
      <c r="U217" s="34">
        <v>3</v>
      </c>
      <c r="V217" s="35">
        <v>5</v>
      </c>
      <c r="Y217" s="31" t="s">
        <v>498</v>
      </c>
      <c r="Z217" s="30">
        <v>-34.5</v>
      </c>
      <c r="AA217" s="30">
        <v>-32.5</v>
      </c>
      <c r="AB217" s="30">
        <v>-21.8</v>
      </c>
      <c r="AC217" s="30">
        <v>-11.5</v>
      </c>
      <c r="AD217" s="30">
        <v>-1.4</v>
      </c>
      <c r="AE217" s="30">
        <v>8.1</v>
      </c>
      <c r="AF217" s="30">
        <v>14.1</v>
      </c>
      <c r="AG217" s="30">
        <v>10.9</v>
      </c>
      <c r="AH217" s="30">
        <v>3.8</v>
      </c>
      <c r="AI217" s="30">
        <v>-7.7</v>
      </c>
      <c r="AJ217" s="30">
        <v>-24.5</v>
      </c>
      <c r="AK217" s="30">
        <v>-31.2</v>
      </c>
      <c r="AL217" s="30">
        <v>-10.7</v>
      </c>
    </row>
    <row r="218" spans="1:38" x14ac:dyDescent="0.25">
      <c r="A218" s="31" t="s">
        <v>832</v>
      </c>
      <c r="B218" s="30">
        <v>-44</v>
      </c>
      <c r="C218" s="30">
        <v>-39</v>
      </c>
      <c r="D218" s="30">
        <v>-41</v>
      </c>
      <c r="E218" s="30">
        <v>-36</v>
      </c>
      <c r="F218" s="30">
        <v>-21</v>
      </c>
      <c r="G218" s="30">
        <v>-60</v>
      </c>
      <c r="H218" s="30">
        <v>7.2</v>
      </c>
      <c r="I218" s="30">
        <v>175</v>
      </c>
      <c r="J218" s="30">
        <v>-10.6</v>
      </c>
      <c r="K218" s="30">
        <v>232</v>
      </c>
      <c r="L218" s="30">
        <v>-7</v>
      </c>
      <c r="M218" s="30">
        <v>250</v>
      </c>
      <c r="N218" s="30">
        <v>-5.8</v>
      </c>
      <c r="O218" s="30">
        <v>75</v>
      </c>
      <c r="P218" s="30">
        <v>72</v>
      </c>
      <c r="Q218" s="30">
        <v>93</v>
      </c>
      <c r="R218" s="30" t="s">
        <v>155</v>
      </c>
      <c r="S218" s="30">
        <v>4.8</v>
      </c>
      <c r="T218" s="30">
        <v>4.2</v>
      </c>
      <c r="U218" s="34">
        <v>3</v>
      </c>
      <c r="V218" s="35">
        <v>5</v>
      </c>
      <c r="Y218" s="31" t="s">
        <v>497</v>
      </c>
      <c r="Z218" s="30">
        <v>-16.100000000000001</v>
      </c>
      <c r="AA218" s="30">
        <v>-14</v>
      </c>
      <c r="AB218" s="30">
        <v>-6.7</v>
      </c>
      <c r="AC218" s="30">
        <v>1.3</v>
      </c>
      <c r="AD218" s="30">
        <v>9.6</v>
      </c>
      <c r="AE218" s="30">
        <v>15.9</v>
      </c>
      <c r="AF218" s="30">
        <v>18.8</v>
      </c>
      <c r="AG218" s="30">
        <v>15.5</v>
      </c>
      <c r="AH218" s="30">
        <v>9.1</v>
      </c>
      <c r="AI218" s="30">
        <v>1.3</v>
      </c>
      <c r="AJ218" s="30">
        <v>-7.8</v>
      </c>
      <c r="AK218" s="30">
        <v>-13.7</v>
      </c>
      <c r="AL218" s="30">
        <v>1.1000000000000001</v>
      </c>
    </row>
    <row r="219" spans="1:38" ht="25.5" x14ac:dyDescent="0.25">
      <c r="A219" s="31" t="s">
        <v>833</v>
      </c>
      <c r="B219" s="30">
        <v>-54</v>
      </c>
      <c r="C219" s="30">
        <v>-53</v>
      </c>
      <c r="D219" s="30">
        <v>-51</v>
      </c>
      <c r="E219" s="30">
        <v>-50</v>
      </c>
      <c r="F219" s="30">
        <v>-34</v>
      </c>
      <c r="G219" s="30">
        <v>-57</v>
      </c>
      <c r="H219" s="30">
        <v>8.6</v>
      </c>
      <c r="I219" s="30">
        <v>211</v>
      </c>
      <c r="J219" s="30">
        <v>-18.8</v>
      </c>
      <c r="K219" s="30">
        <v>266</v>
      </c>
      <c r="L219" s="30">
        <v>-14.1</v>
      </c>
      <c r="M219" s="30">
        <v>280</v>
      </c>
      <c r="N219" s="30">
        <v>-12.9</v>
      </c>
      <c r="O219" s="30">
        <v>77</v>
      </c>
      <c r="P219" s="30">
        <v>76</v>
      </c>
      <c r="Q219" s="30">
        <v>146</v>
      </c>
      <c r="R219" s="30" t="s">
        <v>150</v>
      </c>
      <c r="S219" s="30">
        <v>1.8</v>
      </c>
      <c r="T219" s="30">
        <v>1.2</v>
      </c>
      <c r="U219" s="34">
        <v>3</v>
      </c>
      <c r="V219" s="35">
        <v>5</v>
      </c>
      <c r="Y219" s="31" t="s">
        <v>496</v>
      </c>
      <c r="Z219" s="30">
        <v>-30.5</v>
      </c>
      <c r="AA219" s="30">
        <v>-26.1</v>
      </c>
      <c r="AB219" s="30">
        <v>-13.8</v>
      </c>
      <c r="AC219" s="30">
        <v>-4.0999999999999996</v>
      </c>
      <c r="AD219" s="30">
        <v>4.3</v>
      </c>
      <c r="AE219" s="30">
        <v>13.2</v>
      </c>
      <c r="AF219" s="30">
        <v>17.100000000000001</v>
      </c>
      <c r="AG219" s="30">
        <v>12.8</v>
      </c>
      <c r="AH219" s="30">
        <v>5.3</v>
      </c>
      <c r="AI219" s="30">
        <v>-5</v>
      </c>
      <c r="AJ219" s="30">
        <v>-19.399999999999999</v>
      </c>
      <c r="AK219" s="30">
        <v>-28.4</v>
      </c>
      <c r="AL219" s="30">
        <v>-6.2</v>
      </c>
    </row>
    <row r="220" spans="1:38" x14ac:dyDescent="0.25">
      <c r="A220" s="31" t="s">
        <v>495</v>
      </c>
      <c r="B220" s="30">
        <v>-46</v>
      </c>
      <c r="C220" s="30">
        <v>-43</v>
      </c>
      <c r="D220" s="30">
        <v>-43</v>
      </c>
      <c r="E220" s="30">
        <v>-39</v>
      </c>
      <c r="F220" s="30">
        <v>-22</v>
      </c>
      <c r="G220" s="30">
        <v>-53</v>
      </c>
      <c r="H220" s="30">
        <v>7.8</v>
      </c>
      <c r="I220" s="30">
        <v>178</v>
      </c>
      <c r="J220" s="30">
        <v>-11.5</v>
      </c>
      <c r="K220" s="30">
        <v>239</v>
      </c>
      <c r="L220" s="30">
        <v>-7.6</v>
      </c>
      <c r="M220" s="30">
        <v>257</v>
      </c>
      <c r="N220" s="30">
        <v>-6.4</v>
      </c>
      <c r="O220" s="30">
        <v>77</v>
      </c>
      <c r="P220" s="30">
        <v>75</v>
      </c>
      <c r="Q220" s="30">
        <v>106</v>
      </c>
      <c r="R220" s="30" t="s">
        <v>155</v>
      </c>
      <c r="S220" s="30" t="s">
        <v>41</v>
      </c>
      <c r="T220" s="30">
        <v>4.3</v>
      </c>
      <c r="U220" s="34">
        <v>3</v>
      </c>
      <c r="V220" s="35">
        <v>5</v>
      </c>
      <c r="Y220" s="31" t="s">
        <v>495</v>
      </c>
      <c r="Z220" s="30">
        <v>-17.399999999999999</v>
      </c>
      <c r="AA220" s="30">
        <v>-16</v>
      </c>
      <c r="AB220" s="30">
        <v>-9.1</v>
      </c>
      <c r="AC220" s="30">
        <v>0.2</v>
      </c>
      <c r="AD220" s="30">
        <v>8.1</v>
      </c>
      <c r="AE220" s="30">
        <v>15.3</v>
      </c>
      <c r="AF220" s="30">
        <v>17.8</v>
      </c>
      <c r="AG220" s="30">
        <v>14.6</v>
      </c>
      <c r="AH220" s="30">
        <v>8.6999999999999993</v>
      </c>
      <c r="AI220" s="30">
        <v>0.8</v>
      </c>
      <c r="AJ220" s="30">
        <v>-9.6999999999999993</v>
      </c>
      <c r="AK220" s="30">
        <v>-16.399999999999999</v>
      </c>
      <c r="AL220" s="30">
        <v>-0.3</v>
      </c>
    </row>
    <row r="221" spans="1:38" x14ac:dyDescent="0.25">
      <c r="A221" s="31" t="s">
        <v>834</v>
      </c>
      <c r="B221" s="30">
        <v>-51</v>
      </c>
      <c r="C221" s="30">
        <v>-48</v>
      </c>
      <c r="D221" s="30">
        <v>-49</v>
      </c>
      <c r="E221" s="30">
        <v>-45</v>
      </c>
      <c r="F221" s="30">
        <v>-27</v>
      </c>
      <c r="G221" s="30">
        <v>-54</v>
      </c>
      <c r="H221" s="30">
        <v>9.6</v>
      </c>
      <c r="I221" s="30">
        <v>186</v>
      </c>
      <c r="J221" s="30">
        <v>-15.3</v>
      </c>
      <c r="K221" s="30">
        <v>244</v>
      </c>
      <c r="L221" s="30">
        <v>-10.7</v>
      </c>
      <c r="M221" s="30">
        <v>259</v>
      </c>
      <c r="N221" s="30">
        <v>-9.6</v>
      </c>
      <c r="O221" s="30">
        <v>79</v>
      </c>
      <c r="P221" s="30">
        <v>77</v>
      </c>
      <c r="Q221" s="30">
        <v>78</v>
      </c>
      <c r="R221" s="30" t="s">
        <v>142</v>
      </c>
      <c r="S221" s="30">
        <v>3.2</v>
      </c>
      <c r="T221" s="30">
        <v>1.9</v>
      </c>
      <c r="U221" s="34">
        <v>3</v>
      </c>
      <c r="V221" s="35">
        <v>5</v>
      </c>
      <c r="Y221" s="31" t="s">
        <v>494</v>
      </c>
      <c r="Z221" s="30">
        <v>-23.8</v>
      </c>
      <c r="AA221" s="30">
        <v>-21.2</v>
      </c>
      <c r="AB221" s="30">
        <v>-10.4</v>
      </c>
      <c r="AC221" s="30">
        <v>-0.2</v>
      </c>
      <c r="AD221" s="30">
        <v>7.8</v>
      </c>
      <c r="AE221" s="30">
        <v>15.9</v>
      </c>
      <c r="AF221" s="30">
        <v>19.100000000000001</v>
      </c>
      <c r="AG221" s="30">
        <v>15.3</v>
      </c>
      <c r="AH221" s="30">
        <v>8</v>
      </c>
      <c r="AI221" s="30">
        <v>-0.6</v>
      </c>
      <c r="AJ221" s="30">
        <v>-11.8</v>
      </c>
      <c r="AK221" s="30">
        <v>-21.1</v>
      </c>
      <c r="AL221" s="30">
        <v>-1.9</v>
      </c>
    </row>
    <row r="222" spans="1:38" ht="25.5" x14ac:dyDescent="0.25">
      <c r="A222" s="31" t="s">
        <v>835</v>
      </c>
      <c r="B222" s="30">
        <v>-56</v>
      </c>
      <c r="C222" s="30">
        <v>-55</v>
      </c>
      <c r="D222" s="30">
        <v>-52</v>
      </c>
      <c r="E222" s="30">
        <v>-50</v>
      </c>
      <c r="F222" s="30">
        <v>-33</v>
      </c>
      <c r="G222" s="30">
        <v>-61</v>
      </c>
      <c r="H222" s="30">
        <v>12.4</v>
      </c>
      <c r="I222" s="30">
        <v>206</v>
      </c>
      <c r="J222" s="30">
        <v>-18.7</v>
      </c>
      <c r="K222" s="30">
        <v>260</v>
      </c>
      <c r="L222" s="30">
        <v>-14</v>
      </c>
      <c r="M222" s="30">
        <v>274</v>
      </c>
      <c r="N222" s="30">
        <v>-12.8</v>
      </c>
      <c r="O222" s="30">
        <v>78</v>
      </c>
      <c r="P222" s="30">
        <v>77</v>
      </c>
      <c r="Q222" s="30">
        <v>103</v>
      </c>
      <c r="R222" s="30" t="s">
        <v>150</v>
      </c>
      <c r="S222" s="30">
        <v>2.4</v>
      </c>
      <c r="T222" s="30">
        <v>1.5</v>
      </c>
      <c r="U222" s="34">
        <v>3</v>
      </c>
      <c r="V222" s="35">
        <v>5</v>
      </c>
      <c r="Y222" s="31" t="s">
        <v>493</v>
      </c>
      <c r="Z222" s="30">
        <v>-29.4</v>
      </c>
      <c r="AA222" s="30">
        <v>-25.9</v>
      </c>
      <c r="AB222" s="30">
        <v>-14.5</v>
      </c>
      <c r="AC222" s="30">
        <v>-3.6</v>
      </c>
      <c r="AD222" s="30">
        <v>5.8</v>
      </c>
      <c r="AE222" s="30">
        <v>14.3</v>
      </c>
      <c r="AF222" s="30">
        <v>17.600000000000001</v>
      </c>
      <c r="AG222" s="30">
        <v>13.4</v>
      </c>
      <c r="AH222" s="30">
        <v>5.5</v>
      </c>
      <c r="AI222" s="30">
        <v>-4.5</v>
      </c>
      <c r="AJ222" s="30">
        <v>-18.5</v>
      </c>
      <c r="AK222" s="30">
        <v>-27.4</v>
      </c>
      <c r="AL222" s="30">
        <v>-5.6</v>
      </c>
    </row>
    <row r="223" spans="1:38" x14ac:dyDescent="0.25">
      <c r="A223" s="31" t="s">
        <v>492</v>
      </c>
      <c r="B223" s="30">
        <v>-55</v>
      </c>
      <c r="C223" s="30">
        <v>-54</v>
      </c>
      <c r="D223" s="30">
        <v>-52</v>
      </c>
      <c r="E223" s="30">
        <v>-49</v>
      </c>
      <c r="F223" s="30">
        <v>-33</v>
      </c>
      <c r="G223" s="30">
        <v>-59</v>
      </c>
      <c r="H223" s="30">
        <v>13.2</v>
      </c>
      <c r="I223" s="30">
        <v>207</v>
      </c>
      <c r="J223" s="30">
        <v>-17.100000000000001</v>
      </c>
      <c r="K223" s="30">
        <v>264</v>
      </c>
      <c r="L223" s="30">
        <v>-12.5</v>
      </c>
      <c r="M223" s="30">
        <v>280</v>
      </c>
      <c r="N223" s="30">
        <v>-11.3</v>
      </c>
      <c r="O223" s="30">
        <v>79</v>
      </c>
      <c r="P223" s="30">
        <v>79</v>
      </c>
      <c r="Q223" s="30">
        <v>184</v>
      </c>
      <c r="R223" s="30" t="s">
        <v>142</v>
      </c>
      <c r="S223" s="30" t="s">
        <v>41</v>
      </c>
      <c r="T223" s="30">
        <v>1.6</v>
      </c>
      <c r="U223" s="34">
        <v>3</v>
      </c>
      <c r="V223" s="35">
        <v>5</v>
      </c>
      <c r="Y223" s="31" t="s">
        <v>492</v>
      </c>
      <c r="Z223" s="30">
        <v>-27.6</v>
      </c>
      <c r="AA223" s="30">
        <v>-24.8</v>
      </c>
      <c r="AB223" s="30">
        <v>-14.8</v>
      </c>
      <c r="AC223" s="30">
        <v>-3.7</v>
      </c>
      <c r="AD223" s="30">
        <v>4.3</v>
      </c>
      <c r="AE223" s="30">
        <v>13.1</v>
      </c>
      <c r="AF223" s="30">
        <v>16.8</v>
      </c>
      <c r="AG223" s="30">
        <v>12.7</v>
      </c>
      <c r="AH223" s="30">
        <v>6.1</v>
      </c>
      <c r="AI223" s="30">
        <v>-3.7</v>
      </c>
      <c r="AJ223" s="30">
        <v>-18.100000000000001</v>
      </c>
      <c r="AK223" s="30">
        <v>-26.5</v>
      </c>
      <c r="AL223" s="30">
        <v>-5.5</v>
      </c>
    </row>
    <row r="224" spans="1:38" x14ac:dyDescent="0.25">
      <c r="A224" s="31" t="s">
        <v>836</v>
      </c>
      <c r="B224" s="30">
        <v>-55</v>
      </c>
      <c r="C224" s="30">
        <v>-51</v>
      </c>
      <c r="D224" s="30">
        <v>-51</v>
      </c>
      <c r="E224" s="30">
        <v>-48</v>
      </c>
      <c r="F224" s="30">
        <v>-28</v>
      </c>
      <c r="G224" s="30">
        <v>-57</v>
      </c>
      <c r="H224" s="30">
        <v>7.9</v>
      </c>
      <c r="I224" s="30">
        <v>212</v>
      </c>
      <c r="J224" s="30">
        <v>-15.7</v>
      </c>
      <c r="K224" s="30">
        <v>265</v>
      </c>
      <c r="L224" s="30">
        <v>-11.7</v>
      </c>
      <c r="M224" s="30">
        <v>280</v>
      </c>
      <c r="N224" s="30">
        <v>-10.6</v>
      </c>
      <c r="O224" s="30">
        <v>80</v>
      </c>
      <c r="P224" s="30">
        <v>80</v>
      </c>
      <c r="Q224" s="30">
        <v>182</v>
      </c>
      <c r="R224" s="30" t="s">
        <v>185</v>
      </c>
      <c r="S224" s="30">
        <v>3.2</v>
      </c>
      <c r="T224" s="30">
        <v>2.6</v>
      </c>
      <c r="U224" s="34">
        <v>3</v>
      </c>
      <c r="V224" s="35">
        <v>5</v>
      </c>
      <c r="Y224" s="31" t="s">
        <v>491</v>
      </c>
      <c r="Z224" s="30">
        <v>-24.7</v>
      </c>
      <c r="AA224" s="30">
        <v>-22</v>
      </c>
      <c r="AB224" s="30">
        <v>-12.8</v>
      </c>
      <c r="AC224" s="30">
        <v>-4.9000000000000004</v>
      </c>
      <c r="AD224" s="30">
        <v>3.3</v>
      </c>
      <c r="AE224" s="30">
        <v>12.9</v>
      </c>
      <c r="AF224" s="30">
        <v>17.600000000000001</v>
      </c>
      <c r="AG224" s="30">
        <v>13.4</v>
      </c>
      <c r="AH224" s="30">
        <v>6.4</v>
      </c>
      <c r="AI224" s="30">
        <v>-3.5</v>
      </c>
      <c r="AJ224" s="30">
        <v>-16</v>
      </c>
      <c r="AK224" s="30">
        <v>-22.5</v>
      </c>
      <c r="AL224" s="30">
        <v>-4.4000000000000004</v>
      </c>
    </row>
    <row r="225" spans="1:38" x14ac:dyDescent="0.25">
      <c r="A225" s="31" t="s">
        <v>837</v>
      </c>
      <c r="B225" s="30">
        <v>-56</v>
      </c>
      <c r="C225" s="30">
        <v>-53</v>
      </c>
      <c r="D225" s="30">
        <v>-53</v>
      </c>
      <c r="E225" s="30">
        <v>-49</v>
      </c>
      <c r="F225" s="30">
        <v>-34</v>
      </c>
      <c r="G225" s="30">
        <v>-59</v>
      </c>
      <c r="H225" s="30">
        <v>9.1</v>
      </c>
      <c r="I225" s="30">
        <v>252</v>
      </c>
      <c r="J225" s="30">
        <v>-21</v>
      </c>
      <c r="K225" s="30">
        <v>300</v>
      </c>
      <c r="L225" s="30">
        <v>-17</v>
      </c>
      <c r="M225" s="30">
        <v>316</v>
      </c>
      <c r="N225" s="30">
        <v>-15.6</v>
      </c>
      <c r="O225" s="30">
        <v>76</v>
      </c>
      <c r="P225" s="30">
        <v>77</v>
      </c>
      <c r="Q225" s="30">
        <v>93</v>
      </c>
      <c r="R225" s="30" t="s">
        <v>146</v>
      </c>
      <c r="S225" s="30">
        <v>6.5</v>
      </c>
      <c r="T225" s="30">
        <v>3.8</v>
      </c>
      <c r="U225" s="34">
        <v>3</v>
      </c>
      <c r="V225" s="35">
        <v>5</v>
      </c>
      <c r="Y225" s="31" t="s">
        <v>490</v>
      </c>
      <c r="Z225" s="30">
        <v>-31</v>
      </c>
      <c r="AA225" s="30">
        <v>-30.6</v>
      </c>
      <c r="AB225" s="30">
        <v>-24.5</v>
      </c>
      <c r="AC225" s="30">
        <v>-16</v>
      </c>
      <c r="AD225" s="30">
        <v>-5.9</v>
      </c>
      <c r="AE225" s="30">
        <v>5.7</v>
      </c>
      <c r="AF225" s="30">
        <v>12.8</v>
      </c>
      <c r="AG225" s="30">
        <v>9.8000000000000007</v>
      </c>
      <c r="AH225" s="30">
        <v>2.2999999999999998</v>
      </c>
      <c r="AI225" s="30">
        <v>-11.5</v>
      </c>
      <c r="AJ225" s="30">
        <v>-23.7</v>
      </c>
      <c r="AK225" s="30">
        <v>-27.8</v>
      </c>
      <c r="AL225" s="30">
        <v>-11.7</v>
      </c>
    </row>
    <row r="226" spans="1:38" ht="25.5" x14ac:dyDescent="0.25">
      <c r="A226" s="31" t="s">
        <v>838</v>
      </c>
      <c r="B226" s="30">
        <v>-44</v>
      </c>
      <c r="C226" s="30">
        <v>-43</v>
      </c>
      <c r="D226" s="30">
        <v>-42</v>
      </c>
      <c r="E226" s="30">
        <v>-40</v>
      </c>
      <c r="F226" s="30">
        <v>-29</v>
      </c>
      <c r="G226" s="30">
        <v>-48</v>
      </c>
      <c r="H226" s="30">
        <v>6.8</v>
      </c>
      <c r="I226" s="30">
        <v>267</v>
      </c>
      <c r="J226" s="30">
        <v>-17.399999999999999</v>
      </c>
      <c r="K226" s="30">
        <v>365</v>
      </c>
      <c r="L226" s="30">
        <v>-11.5</v>
      </c>
      <c r="M226" s="30">
        <v>365</v>
      </c>
      <c r="N226" s="30">
        <v>-11.5</v>
      </c>
      <c r="O226" s="30">
        <v>84</v>
      </c>
      <c r="P226" s="30">
        <v>84</v>
      </c>
      <c r="Q226" s="30">
        <v>130</v>
      </c>
      <c r="R226" s="30" t="s">
        <v>150</v>
      </c>
      <c r="S226" s="30">
        <v>9.6</v>
      </c>
      <c r="T226" s="30">
        <v>6.7</v>
      </c>
      <c r="U226" s="34">
        <v>3</v>
      </c>
      <c r="V226" s="35">
        <v>5</v>
      </c>
      <c r="Y226" s="31" t="s">
        <v>489</v>
      </c>
      <c r="Z226" s="30">
        <v>-25.9</v>
      </c>
      <c r="AA226" s="30">
        <v>-25.9</v>
      </c>
      <c r="AB226" s="30">
        <v>-22.9</v>
      </c>
      <c r="AC226" s="30">
        <v>-17.5</v>
      </c>
      <c r="AD226" s="30">
        <v>-8.3000000000000007</v>
      </c>
      <c r="AE226" s="30">
        <v>0</v>
      </c>
      <c r="AF226" s="30">
        <v>4.5</v>
      </c>
      <c r="AG226" s="30">
        <v>4.9000000000000004</v>
      </c>
      <c r="AH226" s="30">
        <v>1.3</v>
      </c>
      <c r="AI226" s="30">
        <v>-8.3000000000000007</v>
      </c>
      <c r="AJ226" s="30">
        <v>-17.899999999999999</v>
      </c>
      <c r="AK226" s="30">
        <v>-22.6</v>
      </c>
      <c r="AL226" s="30">
        <v>-11.5</v>
      </c>
    </row>
    <row r="227" spans="1:38" ht="25.5" x14ac:dyDescent="0.25">
      <c r="A227" s="31" t="s">
        <v>839</v>
      </c>
      <c r="B227" s="30">
        <v>-53</v>
      </c>
      <c r="C227" s="30">
        <v>-50</v>
      </c>
      <c r="D227" s="30">
        <v>-47</v>
      </c>
      <c r="E227" s="30">
        <v>-46</v>
      </c>
      <c r="F227" s="30">
        <v>-31</v>
      </c>
      <c r="G227" s="30">
        <v>-57</v>
      </c>
      <c r="H227" s="30">
        <v>8.3000000000000007</v>
      </c>
      <c r="I227" s="30">
        <v>247</v>
      </c>
      <c r="J227" s="30">
        <v>-19</v>
      </c>
      <c r="K227" s="30">
        <v>296</v>
      </c>
      <c r="L227" s="30">
        <v>-15.2</v>
      </c>
      <c r="M227" s="30">
        <v>310</v>
      </c>
      <c r="N227" s="30">
        <v>-14.1</v>
      </c>
      <c r="O227" s="30">
        <v>74</v>
      </c>
      <c r="P227" s="30">
        <v>74</v>
      </c>
      <c r="Q227" s="30">
        <v>202</v>
      </c>
      <c r="R227" s="30" t="s">
        <v>150</v>
      </c>
      <c r="S227" s="30">
        <v>6.7</v>
      </c>
      <c r="T227" s="30">
        <v>5</v>
      </c>
      <c r="U227" s="34">
        <v>3</v>
      </c>
      <c r="V227" s="35">
        <v>5</v>
      </c>
      <c r="Y227" s="31" t="s">
        <v>488</v>
      </c>
      <c r="Z227" s="30">
        <v>-28.2</v>
      </c>
      <c r="AA227" s="30">
        <v>-27.3</v>
      </c>
      <c r="AB227" s="30">
        <v>-21.9</v>
      </c>
      <c r="AC227" s="30">
        <v>-15.3</v>
      </c>
      <c r="AD227" s="30">
        <v>-5.6</v>
      </c>
      <c r="AE227" s="30">
        <v>5.8</v>
      </c>
      <c r="AF227" s="30">
        <v>13.7</v>
      </c>
      <c r="AG227" s="30">
        <v>10.9</v>
      </c>
      <c r="AH227" s="30">
        <v>3.8</v>
      </c>
      <c r="AI227" s="30">
        <v>-8.5</v>
      </c>
      <c r="AJ227" s="30">
        <v>-20.6</v>
      </c>
      <c r="AK227" s="30">
        <v>-24.9</v>
      </c>
      <c r="AL227" s="30">
        <v>-9.8000000000000007</v>
      </c>
    </row>
    <row r="228" spans="1:38" x14ac:dyDescent="0.25">
      <c r="A228" s="31" t="s">
        <v>487</v>
      </c>
      <c r="B228" s="30">
        <v>-53</v>
      </c>
      <c r="C228" s="30">
        <v>-49</v>
      </c>
      <c r="D228" s="30">
        <v>-50</v>
      </c>
      <c r="E228" s="30">
        <v>-46</v>
      </c>
      <c r="F228" s="30">
        <v>-27</v>
      </c>
      <c r="G228" s="30">
        <v>-59</v>
      </c>
      <c r="H228" s="30">
        <v>11.5</v>
      </c>
      <c r="I228" s="30">
        <v>187</v>
      </c>
      <c r="J228" s="30">
        <v>-13.9</v>
      </c>
      <c r="K228" s="30">
        <v>245</v>
      </c>
      <c r="L228" s="30">
        <v>-9.6</v>
      </c>
      <c r="M228" s="30">
        <v>262</v>
      </c>
      <c r="N228" s="30">
        <v>-8.4</v>
      </c>
      <c r="O228" s="30">
        <v>79</v>
      </c>
      <c r="P228" s="30">
        <v>78</v>
      </c>
      <c r="Q228" s="30">
        <v>141</v>
      </c>
      <c r="R228" s="30" t="s">
        <v>185</v>
      </c>
      <c r="S228" s="30">
        <v>3.7</v>
      </c>
      <c r="T228" s="30">
        <v>2.8</v>
      </c>
      <c r="U228" s="34">
        <v>3</v>
      </c>
      <c r="V228" s="35">
        <v>5</v>
      </c>
      <c r="Y228" s="31" t="s">
        <v>487</v>
      </c>
      <c r="Z228" s="30">
        <v>-22</v>
      </c>
      <c r="AA228" s="30">
        <v>-19.5</v>
      </c>
      <c r="AB228" s="30">
        <v>-10.7</v>
      </c>
      <c r="AC228" s="30">
        <v>-0.9</v>
      </c>
      <c r="AD228" s="30">
        <v>7.1</v>
      </c>
      <c r="AE228" s="30">
        <v>15.1</v>
      </c>
      <c r="AF228" s="30">
        <v>18.5</v>
      </c>
      <c r="AG228" s="30">
        <v>14.9</v>
      </c>
      <c r="AH228" s="30">
        <v>8.1999999999999993</v>
      </c>
      <c r="AI228" s="30">
        <v>-0.5</v>
      </c>
      <c r="AJ228" s="30">
        <v>-12.3</v>
      </c>
      <c r="AK228" s="30">
        <v>-20.7</v>
      </c>
      <c r="AL228" s="30">
        <v>-1.9</v>
      </c>
    </row>
    <row r="229" spans="1:38" ht="25.5" x14ac:dyDescent="0.25">
      <c r="A229" s="31" t="s">
        <v>840</v>
      </c>
      <c r="B229" s="30">
        <v>-57</v>
      </c>
      <c r="C229" s="30">
        <v>-56</v>
      </c>
      <c r="D229" s="30">
        <v>-56</v>
      </c>
      <c r="E229" s="30">
        <v>-55</v>
      </c>
      <c r="F229" s="30">
        <v>-39</v>
      </c>
      <c r="G229" s="30">
        <v>-59</v>
      </c>
      <c r="H229" s="30">
        <v>10.5</v>
      </c>
      <c r="I229" s="30">
        <v>245</v>
      </c>
      <c r="J229" s="30">
        <v>-23.1</v>
      </c>
      <c r="K229" s="30">
        <v>296</v>
      </c>
      <c r="L229" s="30">
        <v>-18.399999999999999</v>
      </c>
      <c r="M229" s="30">
        <v>311</v>
      </c>
      <c r="N229" s="30">
        <v>-17.100000000000001</v>
      </c>
      <c r="O229" s="30">
        <v>79</v>
      </c>
      <c r="P229" s="30">
        <v>78</v>
      </c>
      <c r="Q229" s="30">
        <v>39</v>
      </c>
      <c r="R229" s="30" t="s">
        <v>140</v>
      </c>
      <c r="S229" s="30">
        <v>3.1</v>
      </c>
      <c r="T229" s="30">
        <v>2.2000000000000002</v>
      </c>
      <c r="U229" s="34">
        <v>3</v>
      </c>
      <c r="V229" s="35">
        <v>5</v>
      </c>
      <c r="Y229" s="31" t="s">
        <v>486</v>
      </c>
      <c r="Z229" s="30">
        <v>-36</v>
      </c>
      <c r="AA229" s="30">
        <v>-33.799999999999997</v>
      </c>
      <c r="AB229" s="30">
        <v>-23.9</v>
      </c>
      <c r="AC229" s="30">
        <v>-13.9</v>
      </c>
      <c r="AD229" s="30">
        <v>-3.2</v>
      </c>
      <c r="AE229" s="30">
        <v>7</v>
      </c>
      <c r="AF229" s="30">
        <v>13.5</v>
      </c>
      <c r="AG229" s="30">
        <v>10.5</v>
      </c>
      <c r="AH229" s="30">
        <v>2.4</v>
      </c>
      <c r="AI229" s="30">
        <v>-12.2</v>
      </c>
      <c r="AJ229" s="30">
        <v>-27.6</v>
      </c>
      <c r="AK229" s="30">
        <v>-31.6</v>
      </c>
      <c r="AL229" s="30">
        <v>-12.4</v>
      </c>
    </row>
    <row r="230" spans="1:38" x14ac:dyDescent="0.25">
      <c r="A230" s="31" t="s">
        <v>841</v>
      </c>
      <c r="B230" s="30">
        <v>-54</v>
      </c>
      <c r="C230" s="30">
        <v>-52</v>
      </c>
      <c r="D230" s="30">
        <v>-50</v>
      </c>
      <c r="E230" s="30">
        <v>-49</v>
      </c>
      <c r="F230" s="30">
        <v>-31</v>
      </c>
      <c r="G230" s="30">
        <v>-57</v>
      </c>
      <c r="H230" s="30">
        <v>8.4</v>
      </c>
      <c r="I230" s="30">
        <v>233</v>
      </c>
      <c r="J230" s="30">
        <v>-22</v>
      </c>
      <c r="K230" s="30">
        <v>292</v>
      </c>
      <c r="L230" s="30">
        <v>-16.7</v>
      </c>
      <c r="M230" s="30">
        <v>307</v>
      </c>
      <c r="N230" s="30">
        <v>-15.5</v>
      </c>
      <c r="O230" s="30">
        <v>76</v>
      </c>
      <c r="P230" s="30">
        <v>76</v>
      </c>
      <c r="Q230" s="30">
        <v>157</v>
      </c>
      <c r="R230" s="30" t="s">
        <v>150</v>
      </c>
      <c r="S230" s="30">
        <v>5.4</v>
      </c>
      <c r="T230" s="30">
        <v>3.8</v>
      </c>
      <c r="U230" s="34">
        <v>3</v>
      </c>
      <c r="V230" s="35">
        <v>5</v>
      </c>
      <c r="Y230" s="31" t="s">
        <v>485</v>
      </c>
      <c r="Z230" s="30">
        <v>-28.3</v>
      </c>
      <c r="AA230" s="30">
        <v>-26.7</v>
      </c>
      <c r="AB230" s="30">
        <v>-18.600000000000001</v>
      </c>
      <c r="AC230" s="30">
        <v>-11.1</v>
      </c>
      <c r="AD230" s="30">
        <v>-1.9</v>
      </c>
      <c r="AE230" s="30">
        <v>9.1</v>
      </c>
      <c r="AF230" s="30">
        <v>15.4</v>
      </c>
      <c r="AG230" s="30">
        <v>12</v>
      </c>
      <c r="AH230" s="30">
        <v>4.8</v>
      </c>
      <c r="AI230" s="30">
        <v>-6.9</v>
      </c>
      <c r="AJ230" s="30">
        <v>-20</v>
      </c>
      <c r="AK230" s="30">
        <v>-25.4</v>
      </c>
      <c r="AL230" s="30">
        <v>-8.1</v>
      </c>
    </row>
    <row r="231" spans="1:38" x14ac:dyDescent="0.25">
      <c r="A231" s="31" t="s">
        <v>484</v>
      </c>
      <c r="B231" s="30">
        <v>-48</v>
      </c>
      <c r="C231" s="30">
        <v>-46</v>
      </c>
      <c r="D231" s="30">
        <v>-45</v>
      </c>
      <c r="E231" s="30">
        <v>-42</v>
      </c>
      <c r="F231" s="30">
        <v>-25</v>
      </c>
      <c r="G231" s="30">
        <v>-51</v>
      </c>
      <c r="H231" s="30">
        <v>10.4</v>
      </c>
      <c r="I231" s="30">
        <v>178</v>
      </c>
      <c r="J231" s="30">
        <v>-13.1</v>
      </c>
      <c r="K231" s="30">
        <v>237</v>
      </c>
      <c r="L231" s="30">
        <v>-8.8000000000000007</v>
      </c>
      <c r="M231" s="30">
        <v>254</v>
      </c>
      <c r="N231" s="30">
        <v>-7.7</v>
      </c>
      <c r="O231" s="30">
        <v>77</v>
      </c>
      <c r="P231" s="30">
        <v>75</v>
      </c>
      <c r="Q231" s="30">
        <v>80</v>
      </c>
      <c r="R231" s="30" t="s">
        <v>142</v>
      </c>
      <c r="S231" s="30">
        <v>7.3</v>
      </c>
      <c r="T231" s="30">
        <v>3.7</v>
      </c>
      <c r="U231" s="34">
        <v>3</v>
      </c>
      <c r="V231" s="35">
        <v>5</v>
      </c>
      <c r="Y231" s="31" t="s">
        <v>484</v>
      </c>
      <c r="Z231" s="30">
        <v>-20.2</v>
      </c>
      <c r="AA231" s="30">
        <v>-18.7</v>
      </c>
      <c r="AB231" s="30">
        <v>-10.3</v>
      </c>
      <c r="AC231" s="30">
        <v>0.7</v>
      </c>
      <c r="AD231" s="30">
        <v>8.6</v>
      </c>
      <c r="AE231" s="30">
        <v>16</v>
      </c>
      <c r="AF231" s="30">
        <v>18.8</v>
      </c>
      <c r="AG231" s="30">
        <v>15.6</v>
      </c>
      <c r="AH231" s="30">
        <v>8.8000000000000007</v>
      </c>
      <c r="AI231" s="30">
        <v>0.4</v>
      </c>
      <c r="AJ231" s="30">
        <v>-10.199999999999999</v>
      </c>
      <c r="AK231" s="30">
        <v>-18.600000000000001</v>
      </c>
      <c r="AL231" s="30">
        <v>-0.8</v>
      </c>
    </row>
    <row r="232" spans="1:38" x14ac:dyDescent="0.25">
      <c r="A232" s="31" t="s">
        <v>483</v>
      </c>
      <c r="B232" s="30">
        <v>-54</v>
      </c>
      <c r="C232" s="30">
        <v>-52</v>
      </c>
      <c r="D232" s="30">
        <v>-51</v>
      </c>
      <c r="E232" s="30">
        <v>-48</v>
      </c>
      <c r="F232" s="30">
        <v>-32</v>
      </c>
      <c r="G232" s="30">
        <v>-60</v>
      </c>
      <c r="H232" s="30">
        <v>11.9</v>
      </c>
      <c r="I232" s="30">
        <v>196</v>
      </c>
      <c r="J232" s="30">
        <v>-17</v>
      </c>
      <c r="K232" s="30">
        <v>252</v>
      </c>
      <c r="L232" s="30">
        <v>-12.3</v>
      </c>
      <c r="M232" s="30">
        <v>268</v>
      </c>
      <c r="N232" s="30">
        <v>-11.1</v>
      </c>
      <c r="O232" s="30">
        <v>78</v>
      </c>
      <c r="P232" s="30">
        <v>77</v>
      </c>
      <c r="Q232" s="30">
        <v>79</v>
      </c>
      <c r="R232" s="30" t="s">
        <v>155</v>
      </c>
      <c r="S232" s="30">
        <v>4.5</v>
      </c>
      <c r="T232" s="30">
        <v>2.7</v>
      </c>
      <c r="U232" s="34">
        <v>3</v>
      </c>
      <c r="V232" s="35">
        <v>5</v>
      </c>
      <c r="Y232" s="31" t="s">
        <v>483</v>
      </c>
      <c r="Z232" s="30">
        <v>-27.4</v>
      </c>
      <c r="AA232" s="30">
        <v>-25.1</v>
      </c>
      <c r="AB232" s="30">
        <v>-14.1</v>
      </c>
      <c r="AC232" s="30">
        <v>-2.2000000000000002</v>
      </c>
      <c r="AD232" s="30">
        <v>6.3</v>
      </c>
      <c r="AE232" s="30">
        <v>14.9</v>
      </c>
      <c r="AF232" s="30">
        <v>18.100000000000001</v>
      </c>
      <c r="AG232" s="30">
        <v>14.2</v>
      </c>
      <c r="AH232" s="30">
        <v>7.1</v>
      </c>
      <c r="AI232" s="30">
        <v>-1.9</v>
      </c>
      <c r="AJ232" s="30">
        <v>-15.8</v>
      </c>
      <c r="AK232" s="30">
        <v>-25.7</v>
      </c>
      <c r="AL232" s="30">
        <v>-4.3</v>
      </c>
    </row>
    <row r="233" spans="1:38" x14ac:dyDescent="0.25">
      <c r="A233" s="31" t="s">
        <v>482</v>
      </c>
      <c r="B233" s="30">
        <v>-45</v>
      </c>
      <c r="C233" s="30">
        <v>-43</v>
      </c>
      <c r="D233" s="30">
        <v>-40</v>
      </c>
      <c r="E233" s="30">
        <v>-39</v>
      </c>
      <c r="F233" s="30">
        <v>-23</v>
      </c>
      <c r="G233" s="30">
        <v>-50</v>
      </c>
      <c r="H233" s="30">
        <v>9.1</v>
      </c>
      <c r="I233" s="30">
        <v>177</v>
      </c>
      <c r="J233" s="30">
        <v>-11.5</v>
      </c>
      <c r="K233" s="30">
        <v>240</v>
      </c>
      <c r="L233" s="30">
        <v>-7.4</v>
      </c>
      <c r="M233" s="30">
        <v>257</v>
      </c>
      <c r="N233" s="30">
        <v>-6.3</v>
      </c>
      <c r="O233" s="30">
        <v>75</v>
      </c>
      <c r="P233" s="30">
        <v>71</v>
      </c>
      <c r="Q233" s="30">
        <v>156</v>
      </c>
      <c r="R233" s="30" t="s">
        <v>142</v>
      </c>
      <c r="S233" s="30" t="s">
        <v>41</v>
      </c>
      <c r="T233" s="30">
        <v>2.5</v>
      </c>
      <c r="U233" s="34">
        <v>3</v>
      </c>
      <c r="V233" s="35">
        <v>5</v>
      </c>
      <c r="Y233" s="31" t="s">
        <v>482</v>
      </c>
      <c r="Z233" s="30">
        <v>-17.7</v>
      </c>
      <c r="AA233" s="30">
        <v>-15.6</v>
      </c>
      <c r="AB233" s="30">
        <v>-8</v>
      </c>
      <c r="AC233" s="30">
        <v>0.8</v>
      </c>
      <c r="AD233" s="30">
        <v>8.1999999999999993</v>
      </c>
      <c r="AE233" s="30">
        <v>15.6</v>
      </c>
      <c r="AF233" s="30">
        <v>18.100000000000001</v>
      </c>
      <c r="AG233" s="30">
        <v>14.8</v>
      </c>
      <c r="AH233" s="30">
        <v>8.5</v>
      </c>
      <c r="AI233" s="30">
        <v>0.7</v>
      </c>
      <c r="AJ233" s="30">
        <v>-10.1</v>
      </c>
      <c r="AK233" s="30">
        <v>-16.899999999999999</v>
      </c>
      <c r="AL233" s="30">
        <v>-0.1</v>
      </c>
    </row>
    <row r="234" spans="1:38" x14ac:dyDescent="0.25">
      <c r="A234" s="31" t="s">
        <v>842</v>
      </c>
      <c r="B234" s="30">
        <v>-42</v>
      </c>
      <c r="C234" s="30">
        <v>-39</v>
      </c>
      <c r="D234" s="30">
        <v>-40</v>
      </c>
      <c r="E234" s="30">
        <v>-37</v>
      </c>
      <c r="F234" s="30">
        <v>-20</v>
      </c>
      <c r="G234" s="30">
        <v>-48</v>
      </c>
      <c r="H234" s="30">
        <v>8.4</v>
      </c>
      <c r="I234" s="30">
        <v>171</v>
      </c>
      <c r="J234" s="30">
        <v>-10.7</v>
      </c>
      <c r="K234" s="30">
        <v>233</v>
      </c>
      <c r="L234" s="30">
        <v>-6.7</v>
      </c>
      <c r="M234" s="30">
        <v>250</v>
      </c>
      <c r="N234" s="30">
        <v>-5.7</v>
      </c>
      <c r="O234" s="30">
        <v>78</v>
      </c>
      <c r="P234" s="30">
        <v>75</v>
      </c>
      <c r="Q234" s="30">
        <v>104</v>
      </c>
      <c r="R234" s="30" t="s">
        <v>142</v>
      </c>
      <c r="S234" s="30">
        <v>4.3</v>
      </c>
      <c r="T234" s="30">
        <v>2.6</v>
      </c>
      <c r="U234" s="34">
        <v>3</v>
      </c>
      <c r="V234" s="35">
        <v>5</v>
      </c>
      <c r="Y234" s="31" t="s">
        <v>481</v>
      </c>
      <c r="Z234" s="30">
        <v>-16</v>
      </c>
      <c r="AA234" s="30">
        <v>-14</v>
      </c>
      <c r="AB234" s="30">
        <v>-6.3</v>
      </c>
      <c r="AC234" s="30">
        <v>1.9</v>
      </c>
      <c r="AD234" s="30">
        <v>9.6999999999999993</v>
      </c>
      <c r="AE234" s="30">
        <v>16</v>
      </c>
      <c r="AF234" s="30">
        <v>18.7</v>
      </c>
      <c r="AG234" s="30">
        <v>15.4</v>
      </c>
      <c r="AH234" s="30">
        <v>8.9</v>
      </c>
      <c r="AI234" s="30">
        <v>1.5</v>
      </c>
      <c r="AJ234" s="30">
        <v>-7.5</v>
      </c>
      <c r="AK234" s="30">
        <v>-13.7</v>
      </c>
      <c r="AL234" s="30">
        <v>1.2</v>
      </c>
    </row>
    <row r="235" spans="1:38" x14ac:dyDescent="0.25">
      <c r="A235" s="31" t="s">
        <v>843</v>
      </c>
      <c r="B235" s="30">
        <v>-44</v>
      </c>
      <c r="C235" s="30">
        <v>-41</v>
      </c>
      <c r="D235" s="30">
        <v>-41</v>
      </c>
      <c r="E235" s="30">
        <v>-40</v>
      </c>
      <c r="F235" s="30">
        <v>-24</v>
      </c>
      <c r="G235" s="30">
        <v>-52</v>
      </c>
      <c r="H235" s="30">
        <v>12.1</v>
      </c>
      <c r="I235" s="30">
        <v>163</v>
      </c>
      <c r="J235" s="30">
        <v>-12.2</v>
      </c>
      <c r="K235" s="30">
        <v>221</v>
      </c>
      <c r="L235" s="30">
        <v>-7.9</v>
      </c>
      <c r="M235" s="30">
        <v>238</v>
      </c>
      <c r="N235" s="30">
        <v>-6.7</v>
      </c>
      <c r="O235" s="30">
        <v>77</v>
      </c>
      <c r="P235" s="30">
        <v>72</v>
      </c>
      <c r="Q235" s="30">
        <v>46</v>
      </c>
      <c r="R235" s="30" t="s">
        <v>155</v>
      </c>
      <c r="S235" s="30">
        <v>4.0999999999999996</v>
      </c>
      <c r="T235" s="30">
        <v>1.3</v>
      </c>
      <c r="U235" s="34">
        <v>3</v>
      </c>
      <c r="V235" s="35">
        <v>5</v>
      </c>
      <c r="Y235" s="31" t="s">
        <v>480</v>
      </c>
      <c r="Z235" s="30">
        <v>-18.2</v>
      </c>
      <c r="AA235" s="30">
        <v>-16</v>
      </c>
      <c r="AB235" s="30">
        <v>-6.3</v>
      </c>
      <c r="AC235" s="30">
        <v>3.9</v>
      </c>
      <c r="AD235" s="30">
        <v>11.4</v>
      </c>
      <c r="AE235" s="30">
        <v>17.5</v>
      </c>
      <c r="AF235" s="30">
        <v>19.899999999999999</v>
      </c>
      <c r="AG235" s="30">
        <v>16.8</v>
      </c>
      <c r="AH235" s="30">
        <v>10</v>
      </c>
      <c r="AI235" s="30">
        <v>2.2000000000000002</v>
      </c>
      <c r="AJ235" s="30">
        <v>-7.3</v>
      </c>
      <c r="AK235" s="30">
        <v>-15.4</v>
      </c>
      <c r="AL235" s="30">
        <v>1.5</v>
      </c>
    </row>
    <row r="236" spans="1:38" x14ac:dyDescent="0.25">
      <c r="A236" s="31" t="s">
        <v>479</v>
      </c>
      <c r="B236" s="30">
        <v>-55</v>
      </c>
      <c r="C236" s="30">
        <v>-53</v>
      </c>
      <c r="D236" s="30">
        <v>-53</v>
      </c>
      <c r="E236" s="30">
        <v>-51</v>
      </c>
      <c r="F236" s="30">
        <v>-35</v>
      </c>
      <c r="G236" s="30">
        <v>-58</v>
      </c>
      <c r="H236" s="30">
        <v>12.6</v>
      </c>
      <c r="I236" s="30">
        <v>207</v>
      </c>
      <c r="J236" s="30">
        <v>-18.5</v>
      </c>
      <c r="K236" s="30">
        <v>264</v>
      </c>
      <c r="L236" s="30">
        <v>-13.6</v>
      </c>
      <c r="M236" s="30">
        <v>280</v>
      </c>
      <c r="N236" s="30">
        <v>-12.3</v>
      </c>
      <c r="O236" s="30">
        <v>76</v>
      </c>
      <c r="P236" s="30">
        <v>73</v>
      </c>
      <c r="Q236" s="30">
        <v>101</v>
      </c>
      <c r="R236" s="30" t="s">
        <v>142</v>
      </c>
      <c r="S236" s="30" t="s">
        <v>41</v>
      </c>
      <c r="T236" s="30">
        <v>1.2</v>
      </c>
      <c r="U236" s="34">
        <v>3</v>
      </c>
      <c r="V236" s="35">
        <v>5</v>
      </c>
      <c r="Y236" s="31" t="s">
        <v>479</v>
      </c>
      <c r="Z236" s="30">
        <v>-30.1</v>
      </c>
      <c r="AA236" s="30">
        <v>-26.6</v>
      </c>
      <c r="AB236" s="30">
        <v>-15.6</v>
      </c>
      <c r="AC236" s="30">
        <v>-3.4</v>
      </c>
      <c r="AD236" s="30">
        <v>5.0999999999999996</v>
      </c>
      <c r="AE236" s="30">
        <v>13.4</v>
      </c>
      <c r="AF236" s="30">
        <v>16.8</v>
      </c>
      <c r="AG236" s="30">
        <v>12.7</v>
      </c>
      <c r="AH236" s="30">
        <v>5.3</v>
      </c>
      <c r="AI236" s="30">
        <v>-4.2</v>
      </c>
      <c r="AJ236" s="30">
        <v>-20.100000000000001</v>
      </c>
      <c r="AK236" s="30">
        <v>-29.1</v>
      </c>
      <c r="AL236" s="30">
        <v>-6.3</v>
      </c>
    </row>
    <row r="237" spans="1:38" x14ac:dyDescent="0.25">
      <c r="A237" s="31" t="s">
        <v>258</v>
      </c>
      <c r="B237" s="30">
        <v>-51</v>
      </c>
      <c r="C237" s="30">
        <v>-50</v>
      </c>
      <c r="D237" s="30">
        <v>-49</v>
      </c>
      <c r="E237" s="30">
        <v>-47</v>
      </c>
      <c r="F237" s="30">
        <v>-28</v>
      </c>
      <c r="G237" s="30">
        <v>-57</v>
      </c>
      <c r="H237" s="30">
        <v>13.1</v>
      </c>
      <c r="I237" s="30">
        <v>188</v>
      </c>
      <c r="J237" s="30">
        <v>-14.4</v>
      </c>
      <c r="K237" s="30">
        <v>251</v>
      </c>
      <c r="L237" s="30">
        <v>-9.8000000000000007</v>
      </c>
      <c r="M237" s="30">
        <v>268</v>
      </c>
      <c r="N237" s="30">
        <v>-8.6</v>
      </c>
      <c r="O237" s="30">
        <v>76</v>
      </c>
      <c r="P237" s="30">
        <v>73</v>
      </c>
      <c r="Q237" s="30">
        <v>121</v>
      </c>
      <c r="R237" s="30" t="s">
        <v>155</v>
      </c>
      <c r="S237" s="30" t="s">
        <v>41</v>
      </c>
      <c r="T237" s="30">
        <v>1.9</v>
      </c>
      <c r="U237" s="34">
        <v>3</v>
      </c>
      <c r="V237" s="35">
        <v>5</v>
      </c>
      <c r="Y237" s="31" t="s">
        <v>258</v>
      </c>
      <c r="Z237" s="30">
        <v>-22.8</v>
      </c>
      <c r="AA237" s="30">
        <v>-20.3</v>
      </c>
      <c r="AB237" s="30">
        <v>-11.5</v>
      </c>
      <c r="AC237" s="30">
        <v>-0.8</v>
      </c>
      <c r="AD237" s="30">
        <v>6.9</v>
      </c>
      <c r="AE237" s="30">
        <v>14.5</v>
      </c>
      <c r="AF237" s="30">
        <v>17.5</v>
      </c>
      <c r="AG237" s="30">
        <v>14</v>
      </c>
      <c r="AH237" s="30">
        <v>7</v>
      </c>
      <c r="AI237" s="30">
        <v>-1</v>
      </c>
      <c r="AJ237" s="30">
        <v>-12.5</v>
      </c>
      <c r="AK237" s="30">
        <v>-21.9</v>
      </c>
      <c r="AL237" s="30">
        <v>-2.6</v>
      </c>
    </row>
    <row r="238" spans="1:38" ht="25.5" x14ac:dyDescent="0.25">
      <c r="A238" s="31" t="s">
        <v>844</v>
      </c>
      <c r="B238" s="30">
        <v>-56</v>
      </c>
      <c r="C238" s="30">
        <v>-55</v>
      </c>
      <c r="D238" s="30">
        <v>-54</v>
      </c>
      <c r="E238" s="30">
        <v>-53</v>
      </c>
      <c r="F238" s="30">
        <v>-40</v>
      </c>
      <c r="G238" s="30">
        <v>-59</v>
      </c>
      <c r="H238" s="30">
        <v>8.5</v>
      </c>
      <c r="I238" s="30">
        <v>218</v>
      </c>
      <c r="J238" s="30">
        <v>-22.3</v>
      </c>
      <c r="K238" s="30">
        <v>270</v>
      </c>
      <c r="L238" s="30">
        <v>-17.2</v>
      </c>
      <c r="M238" s="30">
        <v>283</v>
      </c>
      <c r="N238" s="30">
        <v>-16</v>
      </c>
      <c r="O238" s="30">
        <v>77</v>
      </c>
      <c r="P238" s="30">
        <v>77</v>
      </c>
      <c r="Q238" s="30">
        <v>81</v>
      </c>
      <c r="R238" s="30" t="s">
        <v>142</v>
      </c>
      <c r="S238" s="30">
        <v>1.9</v>
      </c>
      <c r="T238" s="30">
        <v>1.7</v>
      </c>
      <c r="U238" s="34">
        <v>3</v>
      </c>
      <c r="V238" s="35">
        <v>5</v>
      </c>
      <c r="Y238" s="31" t="s">
        <v>478</v>
      </c>
      <c r="Z238" s="30">
        <v>-35.700000000000003</v>
      </c>
      <c r="AA238" s="30">
        <v>-31.8</v>
      </c>
      <c r="AB238" s="30">
        <v>-18.3</v>
      </c>
      <c r="AC238" s="30">
        <v>-6.8</v>
      </c>
      <c r="AD238" s="30">
        <v>3.3</v>
      </c>
      <c r="AE238" s="30">
        <v>12.8</v>
      </c>
      <c r="AF238" s="30">
        <v>16.899999999999999</v>
      </c>
      <c r="AG238" s="30">
        <v>12.7</v>
      </c>
      <c r="AH238" s="30">
        <v>4.8</v>
      </c>
      <c r="AI238" s="30">
        <v>-7</v>
      </c>
      <c r="AJ238" s="30">
        <v>-24.3</v>
      </c>
      <c r="AK238" s="30">
        <v>-32.4</v>
      </c>
      <c r="AL238" s="30">
        <v>-8.8000000000000007</v>
      </c>
    </row>
    <row r="239" spans="1:38" x14ac:dyDescent="0.25">
      <c r="A239" s="31" t="s">
        <v>845</v>
      </c>
      <c r="B239" s="30">
        <v>-54</v>
      </c>
      <c r="C239" s="30">
        <v>-52</v>
      </c>
      <c r="D239" s="30">
        <v>-49</v>
      </c>
      <c r="E239" s="30">
        <v>-49</v>
      </c>
      <c r="F239" s="30">
        <v>-30</v>
      </c>
      <c r="G239" s="30">
        <v>-61</v>
      </c>
      <c r="H239" s="30">
        <v>8.3000000000000007</v>
      </c>
      <c r="I239" s="30">
        <v>225</v>
      </c>
      <c r="J239" s="30">
        <v>-17.100000000000001</v>
      </c>
      <c r="K239" s="30">
        <v>274</v>
      </c>
      <c r="L239" s="30">
        <v>-13.3</v>
      </c>
      <c r="M239" s="30">
        <v>289</v>
      </c>
      <c r="N239" s="30">
        <v>-12.1</v>
      </c>
      <c r="O239" s="30">
        <v>75</v>
      </c>
      <c r="P239" s="30">
        <v>76</v>
      </c>
      <c r="Q239" s="30">
        <v>174</v>
      </c>
      <c r="R239" s="30" t="s">
        <v>150</v>
      </c>
      <c r="S239" s="30">
        <v>5.2</v>
      </c>
      <c r="T239" s="30">
        <v>3.6</v>
      </c>
      <c r="U239" s="34">
        <v>3</v>
      </c>
      <c r="V239" s="35">
        <v>5</v>
      </c>
      <c r="Y239" s="31" t="s">
        <v>477</v>
      </c>
      <c r="Z239" s="30">
        <v>-26.5</v>
      </c>
      <c r="AA239" s="30">
        <v>-24.2</v>
      </c>
      <c r="AB239" s="30">
        <v>-15.8</v>
      </c>
      <c r="AC239" s="30">
        <v>-8.1</v>
      </c>
      <c r="AD239" s="30">
        <v>0.7</v>
      </c>
      <c r="AE239" s="30">
        <v>10.9</v>
      </c>
      <c r="AF239" s="30">
        <v>16.5</v>
      </c>
      <c r="AG239" s="30">
        <v>12.7</v>
      </c>
      <c r="AH239" s="30">
        <v>5.5</v>
      </c>
      <c r="AI239" s="30">
        <v>-5.7</v>
      </c>
      <c r="AJ239" s="30">
        <v>-18.600000000000001</v>
      </c>
      <c r="AK239" s="30">
        <v>-23.9</v>
      </c>
      <c r="AL239" s="30">
        <v>-6.4</v>
      </c>
    </row>
    <row r="240" spans="1:38" ht="25.5" x14ac:dyDescent="0.25">
      <c r="A240" s="31" t="s">
        <v>846</v>
      </c>
      <c r="B240" s="30">
        <v>-55</v>
      </c>
      <c r="C240" s="30">
        <v>-52</v>
      </c>
      <c r="D240" s="30">
        <v>-52</v>
      </c>
      <c r="E240" s="30">
        <v>-49</v>
      </c>
      <c r="F240" s="30">
        <v>-36</v>
      </c>
      <c r="G240" s="30">
        <v>-59</v>
      </c>
      <c r="H240" s="30">
        <v>7.8</v>
      </c>
      <c r="I240" s="30">
        <v>255</v>
      </c>
      <c r="J240" s="30">
        <v>-22.2</v>
      </c>
      <c r="K240" s="30">
        <v>304</v>
      </c>
      <c r="L240" s="30">
        <v>-18</v>
      </c>
      <c r="M240" s="30">
        <v>319</v>
      </c>
      <c r="N240" s="30">
        <v>-16.7</v>
      </c>
      <c r="O240" s="30">
        <v>76</v>
      </c>
      <c r="P240" s="30">
        <v>76</v>
      </c>
      <c r="Q240" s="30">
        <v>71</v>
      </c>
      <c r="R240" s="30" t="s">
        <v>155</v>
      </c>
      <c r="S240" s="30">
        <v>5.2</v>
      </c>
      <c r="T240" s="30">
        <v>4.4000000000000004</v>
      </c>
      <c r="U240" s="34">
        <v>3</v>
      </c>
      <c r="V240" s="35">
        <v>5</v>
      </c>
      <c r="Y240" s="31" t="s">
        <v>476</v>
      </c>
      <c r="Z240" s="30">
        <v>-32.799999999999997</v>
      </c>
      <c r="AA240" s="30">
        <v>-32.299999999999997</v>
      </c>
      <c r="AB240" s="30">
        <v>-26.7</v>
      </c>
      <c r="AC240" s="30">
        <v>-17.5</v>
      </c>
      <c r="AD240" s="30">
        <v>-6.8</v>
      </c>
      <c r="AE240" s="30">
        <v>5.4</v>
      </c>
      <c r="AF240" s="30">
        <v>12.6</v>
      </c>
      <c r="AG240" s="30">
        <v>9.3000000000000007</v>
      </c>
      <c r="AH240" s="30">
        <v>1.6</v>
      </c>
      <c r="AI240" s="30">
        <v>-12.3</v>
      </c>
      <c r="AJ240" s="30">
        <v>-25.5</v>
      </c>
      <c r="AK240" s="30">
        <v>-29.3</v>
      </c>
      <c r="AL240" s="30">
        <v>-12.9</v>
      </c>
    </row>
    <row r="241" spans="1:38" ht="25.5" x14ac:dyDescent="0.25">
      <c r="A241" s="31" t="s">
        <v>475</v>
      </c>
      <c r="B241" s="30">
        <v>-46</v>
      </c>
      <c r="C241" s="30">
        <v>-44</v>
      </c>
      <c r="D241" s="30">
        <v>-44</v>
      </c>
      <c r="E241" s="30">
        <v>-41</v>
      </c>
      <c r="F241" s="30">
        <v>-33</v>
      </c>
      <c r="G241" s="30">
        <v>-49</v>
      </c>
      <c r="H241" s="30">
        <v>7</v>
      </c>
      <c r="I241" s="30">
        <v>311</v>
      </c>
      <c r="J241" s="30">
        <v>-17.3</v>
      </c>
      <c r="K241" s="30">
        <v>365</v>
      </c>
      <c r="L241" s="30">
        <v>-14.7</v>
      </c>
      <c r="M241" s="30">
        <v>365</v>
      </c>
      <c r="N241" s="30">
        <v>-14.7</v>
      </c>
      <c r="O241" s="30">
        <v>84</v>
      </c>
      <c r="P241" s="30">
        <v>84</v>
      </c>
      <c r="Q241" s="30" t="s">
        <v>41</v>
      </c>
      <c r="R241" s="30" t="s">
        <v>155</v>
      </c>
      <c r="S241" s="30">
        <v>9.3000000000000007</v>
      </c>
      <c r="T241" s="30">
        <v>6.7</v>
      </c>
      <c r="U241" s="34">
        <v>3</v>
      </c>
      <c r="V241" s="35">
        <v>5</v>
      </c>
      <c r="Y241" s="31" t="s">
        <v>474</v>
      </c>
      <c r="Z241" s="30">
        <v>-28.5</v>
      </c>
      <c r="AA241" s="30">
        <v>-28.6</v>
      </c>
      <c r="AB241" s="30">
        <v>-28.2</v>
      </c>
      <c r="AC241" s="30">
        <v>-21</v>
      </c>
      <c r="AD241" s="30">
        <v>-10.5</v>
      </c>
      <c r="AE241" s="30">
        <v>-1.4</v>
      </c>
      <c r="AF241" s="30">
        <v>1.5</v>
      </c>
      <c r="AG241" s="30">
        <v>0.7</v>
      </c>
      <c r="AH241" s="30">
        <v>-2.4</v>
      </c>
      <c r="AI241" s="30">
        <v>-11.5</v>
      </c>
      <c r="AJ241" s="30">
        <v>-21.4</v>
      </c>
      <c r="AK241" s="30">
        <v>-25.3</v>
      </c>
      <c r="AL241" s="30">
        <v>-14.7</v>
      </c>
    </row>
    <row r="242" spans="1:38" x14ac:dyDescent="0.25">
      <c r="A242" s="31" t="s">
        <v>473</v>
      </c>
      <c r="B242" s="30">
        <v>-53</v>
      </c>
      <c r="C242" s="30">
        <v>-50</v>
      </c>
      <c r="D242" s="30">
        <v>-50</v>
      </c>
      <c r="E242" s="30">
        <v>-47</v>
      </c>
      <c r="F242" s="30">
        <v>-29</v>
      </c>
      <c r="G242" s="30">
        <v>-56</v>
      </c>
      <c r="H242" s="30">
        <v>9.9</v>
      </c>
      <c r="I242" s="30">
        <v>198</v>
      </c>
      <c r="J242" s="30">
        <v>-14.9</v>
      </c>
      <c r="K242" s="30">
        <v>254</v>
      </c>
      <c r="L242" s="30">
        <v>-10.8</v>
      </c>
      <c r="M242" s="30">
        <v>270</v>
      </c>
      <c r="N242" s="30">
        <v>-9.6</v>
      </c>
      <c r="O242" s="30">
        <v>79</v>
      </c>
      <c r="P242" s="30">
        <v>78</v>
      </c>
      <c r="Q242" s="30">
        <v>170</v>
      </c>
      <c r="R242" s="30" t="s">
        <v>185</v>
      </c>
      <c r="S242" s="30">
        <v>4.7</v>
      </c>
      <c r="T242" s="30">
        <v>3.6</v>
      </c>
      <c r="U242" s="34">
        <v>3</v>
      </c>
      <c r="V242" s="35">
        <v>5</v>
      </c>
      <c r="Y242" s="31" t="s">
        <v>473</v>
      </c>
      <c r="Z242" s="30">
        <v>-23.6</v>
      </c>
      <c r="AA242" s="30">
        <v>-21.5</v>
      </c>
      <c r="AB242" s="30">
        <v>-12.9</v>
      </c>
      <c r="AC242" s="30">
        <v>-2.7</v>
      </c>
      <c r="AD242" s="30">
        <v>5.0999999999999996</v>
      </c>
      <c r="AE242" s="30">
        <v>14.3</v>
      </c>
      <c r="AF242" s="30">
        <v>18.2</v>
      </c>
      <c r="AG242" s="30">
        <v>14</v>
      </c>
      <c r="AH242" s="30">
        <v>7.6</v>
      </c>
      <c r="AI242" s="30">
        <v>-1.8</v>
      </c>
      <c r="AJ242" s="30">
        <v>-14.7</v>
      </c>
      <c r="AK242" s="30">
        <v>-22.3</v>
      </c>
      <c r="AL242" s="30">
        <v>-3.4</v>
      </c>
    </row>
    <row r="243" spans="1:38" x14ac:dyDescent="0.25">
      <c r="A243" s="33" t="s">
        <v>472</v>
      </c>
      <c r="B243" s="70"/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  <c r="U243" s="34"/>
      <c r="Y243" s="33" t="s">
        <v>472</v>
      </c>
      <c r="Z243" s="70"/>
      <c r="AA243" s="70"/>
      <c r="AB243" s="70"/>
      <c r="AC243" s="70"/>
      <c r="AD243" s="70"/>
      <c r="AE243" s="70"/>
      <c r="AF243" s="70"/>
      <c r="AG243" s="70"/>
      <c r="AH243" s="70"/>
      <c r="AI243" s="70"/>
      <c r="AJ243" s="70"/>
      <c r="AK243" s="70"/>
      <c r="AL243" s="70"/>
    </row>
    <row r="244" spans="1:38" x14ac:dyDescent="0.25">
      <c r="A244" s="31" t="s">
        <v>847</v>
      </c>
      <c r="B244" s="30">
        <v>-42</v>
      </c>
      <c r="C244" s="30">
        <v>-40</v>
      </c>
      <c r="D244" s="30">
        <v>-39</v>
      </c>
      <c r="E244" s="30">
        <v>-36</v>
      </c>
      <c r="F244" s="30">
        <v>-21</v>
      </c>
      <c r="G244" s="30">
        <v>-48</v>
      </c>
      <c r="H244" s="30">
        <v>8.5</v>
      </c>
      <c r="I244" s="30">
        <v>161</v>
      </c>
      <c r="J244" s="30">
        <v>-11.3</v>
      </c>
      <c r="K244" s="30">
        <v>212</v>
      </c>
      <c r="L244" s="30">
        <v>-7.6</v>
      </c>
      <c r="M244" s="30">
        <v>229</v>
      </c>
      <c r="N244" s="30">
        <v>-6.3</v>
      </c>
      <c r="O244" s="30">
        <v>80</v>
      </c>
      <c r="P244" s="30">
        <v>79</v>
      </c>
      <c r="Q244" s="30">
        <v>89</v>
      </c>
      <c r="R244" s="30" t="s">
        <v>150</v>
      </c>
      <c r="S244" s="30">
        <v>5.6</v>
      </c>
      <c r="T244" s="30">
        <v>4.4000000000000004</v>
      </c>
      <c r="U244" s="34">
        <v>1</v>
      </c>
      <c r="V244" s="35">
        <v>2</v>
      </c>
      <c r="Y244" s="31" t="s">
        <v>471</v>
      </c>
      <c r="Z244" s="30">
        <v>-16.3</v>
      </c>
      <c r="AA244" s="30">
        <v>-15</v>
      </c>
      <c r="AB244" s="30">
        <v>-6.9</v>
      </c>
      <c r="AC244" s="30">
        <v>4.5999999999999996</v>
      </c>
      <c r="AD244" s="30">
        <v>12.5</v>
      </c>
      <c r="AE244" s="30">
        <v>17.8</v>
      </c>
      <c r="AF244" s="30">
        <v>19.600000000000001</v>
      </c>
      <c r="AG244" s="30">
        <v>16.7</v>
      </c>
      <c r="AH244" s="30">
        <v>10.8</v>
      </c>
      <c r="AI244" s="30">
        <v>3.2</v>
      </c>
      <c r="AJ244" s="30">
        <v>-6.4</v>
      </c>
      <c r="AK244" s="30">
        <v>-13.4</v>
      </c>
      <c r="AL244" s="30">
        <v>2.2999999999999998</v>
      </c>
    </row>
    <row r="245" spans="1:38" x14ac:dyDescent="0.25">
      <c r="A245" s="33" t="s">
        <v>470</v>
      </c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4"/>
      <c r="Y245" s="33" t="s">
        <v>470</v>
      </c>
      <c r="Z245" s="70"/>
      <c r="AA245" s="70"/>
      <c r="AB245" s="70"/>
      <c r="AC245" s="70"/>
      <c r="AD245" s="70"/>
      <c r="AE245" s="70"/>
      <c r="AF245" s="70"/>
      <c r="AG245" s="70"/>
      <c r="AH245" s="70"/>
      <c r="AI245" s="70"/>
      <c r="AJ245" s="70"/>
      <c r="AK245" s="70"/>
      <c r="AL245" s="70"/>
    </row>
    <row r="246" spans="1:38" x14ac:dyDescent="0.25">
      <c r="A246" s="31" t="s">
        <v>848</v>
      </c>
      <c r="B246" s="30">
        <v>-29</v>
      </c>
      <c r="C246" s="30">
        <v>-27</v>
      </c>
      <c r="D246" s="30">
        <v>-24</v>
      </c>
      <c r="E246" s="30">
        <v>-24</v>
      </c>
      <c r="F246" s="30">
        <v>-12</v>
      </c>
      <c r="G246" s="30">
        <v>-35</v>
      </c>
      <c r="H246" s="30">
        <v>5.6</v>
      </c>
      <c r="I246" s="30">
        <v>132</v>
      </c>
      <c r="J246" s="30">
        <v>-5.3</v>
      </c>
      <c r="K246" s="30">
        <v>194</v>
      </c>
      <c r="L246" s="30">
        <v>-2.2999999999999998</v>
      </c>
      <c r="M246" s="30">
        <v>211</v>
      </c>
      <c r="N246" s="30">
        <v>-1.4</v>
      </c>
      <c r="O246" s="30">
        <v>85</v>
      </c>
      <c r="P246" s="30">
        <v>83</v>
      </c>
      <c r="Q246" s="30">
        <v>217</v>
      </c>
      <c r="R246" s="30" t="s">
        <v>142</v>
      </c>
      <c r="S246" s="30">
        <v>3.9</v>
      </c>
      <c r="T246" s="30">
        <v>3.6</v>
      </c>
      <c r="U246" s="34">
        <v>0</v>
      </c>
      <c r="Y246" s="31" t="s">
        <v>469</v>
      </c>
      <c r="Z246" s="30">
        <v>-7.3</v>
      </c>
      <c r="AA246" s="30">
        <v>-6.9</v>
      </c>
      <c r="AB246" s="30">
        <v>-1.4</v>
      </c>
      <c r="AC246" s="30">
        <v>7.5</v>
      </c>
      <c r="AD246" s="30">
        <v>14.2</v>
      </c>
      <c r="AE246" s="30">
        <v>17.399999999999999</v>
      </c>
      <c r="AF246" s="30">
        <v>19</v>
      </c>
      <c r="AG246" s="30">
        <v>18.100000000000001</v>
      </c>
      <c r="AH246" s="30">
        <v>12.5</v>
      </c>
      <c r="AI246" s="30">
        <v>6.2</v>
      </c>
      <c r="AJ246" s="30">
        <v>-0.5</v>
      </c>
      <c r="AK246" s="30">
        <v>-5.2</v>
      </c>
      <c r="AL246" s="30">
        <v>6.1</v>
      </c>
    </row>
    <row r="247" spans="1:38" x14ac:dyDescent="0.25">
      <c r="A247" s="33" t="s">
        <v>468</v>
      </c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4"/>
      <c r="Y247" s="33" t="s">
        <v>468</v>
      </c>
      <c r="Z247" s="70"/>
      <c r="AA247" s="70"/>
      <c r="AB247" s="70"/>
      <c r="AC247" s="70"/>
      <c r="AD247" s="70"/>
      <c r="AE247" s="70"/>
      <c r="AF247" s="70"/>
      <c r="AG247" s="70"/>
      <c r="AH247" s="70"/>
      <c r="AI247" s="70"/>
      <c r="AJ247" s="70"/>
      <c r="AK247" s="70"/>
      <c r="AL247" s="70"/>
    </row>
    <row r="248" spans="1:38" x14ac:dyDescent="0.25">
      <c r="A248" s="31" t="s">
        <v>467</v>
      </c>
      <c r="B248" s="30">
        <v>-34</v>
      </c>
      <c r="C248" s="30">
        <v>-31</v>
      </c>
      <c r="D248" s="30">
        <v>-29</v>
      </c>
      <c r="E248" s="30">
        <v>-27</v>
      </c>
      <c r="F248" s="30">
        <v>-15</v>
      </c>
      <c r="G248" s="30">
        <v>-38</v>
      </c>
      <c r="H248" s="30">
        <v>6.8</v>
      </c>
      <c r="I248" s="30">
        <v>141</v>
      </c>
      <c r="J248" s="30">
        <v>-6.6</v>
      </c>
      <c r="K248" s="30">
        <v>202</v>
      </c>
      <c r="L248" s="30">
        <v>-3.4</v>
      </c>
      <c r="M248" s="30">
        <v>218</v>
      </c>
      <c r="N248" s="30">
        <v>-2.5</v>
      </c>
      <c r="O248" s="30">
        <v>85</v>
      </c>
      <c r="P248" s="30">
        <v>84</v>
      </c>
      <c r="Q248" s="30">
        <v>248</v>
      </c>
      <c r="R248" s="30" t="s">
        <v>155</v>
      </c>
      <c r="S248" s="30">
        <v>5.9</v>
      </c>
      <c r="T248" s="30">
        <v>4.8</v>
      </c>
      <c r="U248" s="34">
        <v>0</v>
      </c>
      <c r="Y248" s="31" t="s">
        <v>467</v>
      </c>
      <c r="Z248" s="30">
        <v>-10.3</v>
      </c>
      <c r="AA248" s="30">
        <v>-9.5</v>
      </c>
      <c r="AB248" s="30">
        <v>-4.4000000000000004</v>
      </c>
      <c r="AC248" s="30">
        <v>5.5</v>
      </c>
      <c r="AD248" s="30">
        <v>13.8</v>
      </c>
      <c r="AE248" s="30">
        <v>18</v>
      </c>
      <c r="AF248" s="30">
        <v>20.2</v>
      </c>
      <c r="AG248" s="30">
        <v>18.5</v>
      </c>
      <c r="AH248" s="30">
        <v>12.5</v>
      </c>
      <c r="AI248" s="30">
        <v>5.5</v>
      </c>
      <c r="AJ248" s="30">
        <v>-1.5</v>
      </c>
      <c r="AK248" s="30">
        <v>-7.1</v>
      </c>
      <c r="AL248" s="30">
        <v>5.0999999999999996</v>
      </c>
    </row>
    <row r="249" spans="1:38" ht="25.5" x14ac:dyDescent="0.25">
      <c r="A249" s="33" t="s">
        <v>466</v>
      </c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  <c r="S249" s="70"/>
      <c r="T249" s="70"/>
      <c r="U249" s="34"/>
      <c r="Y249" s="33" t="s">
        <v>466</v>
      </c>
      <c r="Z249" s="70"/>
      <c r="AA249" s="70"/>
      <c r="AB249" s="70"/>
      <c r="AC249" s="70"/>
      <c r="AD249" s="70"/>
      <c r="AE249" s="70"/>
      <c r="AF249" s="70"/>
      <c r="AG249" s="70"/>
      <c r="AH249" s="70"/>
      <c r="AI249" s="70"/>
      <c r="AJ249" s="70"/>
      <c r="AK249" s="70"/>
      <c r="AL249" s="70"/>
    </row>
    <row r="250" spans="1:38" x14ac:dyDescent="0.25">
      <c r="A250" s="31" t="s">
        <v>849</v>
      </c>
      <c r="B250" s="30">
        <v>-32</v>
      </c>
      <c r="C250" s="30">
        <v>-27</v>
      </c>
      <c r="D250" s="30">
        <v>-28</v>
      </c>
      <c r="E250" s="30">
        <v>-24</v>
      </c>
      <c r="F250" s="30">
        <v>-11</v>
      </c>
      <c r="G250" s="30">
        <v>-36</v>
      </c>
      <c r="H250" s="30">
        <v>5.3</v>
      </c>
      <c r="I250" s="30">
        <v>131</v>
      </c>
      <c r="J250" s="30">
        <v>-4.5999999999999996</v>
      </c>
      <c r="K250" s="30">
        <v>213</v>
      </c>
      <c r="L250" s="30">
        <v>-1.3</v>
      </c>
      <c r="M250" s="30">
        <v>232</v>
      </c>
      <c r="N250" s="30">
        <v>-0.4</v>
      </c>
      <c r="O250" s="30">
        <v>86</v>
      </c>
      <c r="P250" s="30">
        <v>84</v>
      </c>
      <c r="Q250" s="30">
        <v>202</v>
      </c>
      <c r="R250" s="30" t="s">
        <v>142</v>
      </c>
      <c r="S250" s="30">
        <v>3.3</v>
      </c>
      <c r="T250" s="30">
        <v>2.5</v>
      </c>
      <c r="U250" s="34">
        <v>0</v>
      </c>
      <c r="Y250" s="31" t="s">
        <v>465</v>
      </c>
      <c r="Z250" s="30">
        <v>-6.6</v>
      </c>
      <c r="AA250" s="30">
        <v>-6.3</v>
      </c>
      <c r="AB250" s="30">
        <v>-1.5</v>
      </c>
      <c r="AC250" s="30">
        <v>4.5</v>
      </c>
      <c r="AD250" s="30">
        <v>10.9</v>
      </c>
      <c r="AE250" s="30">
        <v>15.7</v>
      </c>
      <c r="AF250" s="30">
        <v>18.3</v>
      </c>
      <c r="AG250" s="30">
        <v>16.7</v>
      </c>
      <c r="AH250" s="30">
        <v>11.4</v>
      </c>
      <c r="AI250" s="30">
        <v>5.7</v>
      </c>
      <c r="AJ250" s="30">
        <v>0.2</v>
      </c>
      <c r="AK250" s="30">
        <v>-3.9</v>
      </c>
      <c r="AL250" s="30">
        <v>5.4</v>
      </c>
    </row>
    <row r="251" spans="1:38" x14ac:dyDescent="0.25">
      <c r="A251" s="31" t="s">
        <v>464</v>
      </c>
      <c r="B251" s="30">
        <v>-37</v>
      </c>
      <c r="C251" s="30">
        <v>-34</v>
      </c>
      <c r="D251" s="30">
        <v>-32</v>
      </c>
      <c r="E251" s="30">
        <v>-29</v>
      </c>
      <c r="F251" s="30">
        <v>-15</v>
      </c>
      <c r="G251" s="30">
        <v>-48</v>
      </c>
      <c r="H251" s="30">
        <v>7.1</v>
      </c>
      <c r="I251" s="30">
        <v>152</v>
      </c>
      <c r="J251" s="30">
        <v>-6.4</v>
      </c>
      <c r="K251" s="30">
        <v>228</v>
      </c>
      <c r="L251" s="30">
        <v>-2.9</v>
      </c>
      <c r="M251" s="30">
        <v>249</v>
      </c>
      <c r="N251" s="30">
        <v>-1.9</v>
      </c>
      <c r="O251" s="30">
        <v>86</v>
      </c>
      <c r="P251" s="30">
        <v>86</v>
      </c>
      <c r="Q251" s="30">
        <v>231</v>
      </c>
      <c r="R251" s="30" t="s">
        <v>150</v>
      </c>
      <c r="S251" s="30">
        <v>5.5</v>
      </c>
      <c r="T251" s="30">
        <v>4.2</v>
      </c>
      <c r="U251" s="34">
        <v>0</v>
      </c>
      <c r="Y251" s="31" t="s">
        <v>464</v>
      </c>
      <c r="Z251" s="30">
        <v>-10.5</v>
      </c>
      <c r="AA251" s="30">
        <v>-9.3000000000000007</v>
      </c>
      <c r="AB251" s="30">
        <v>-4.7</v>
      </c>
      <c r="AC251" s="30">
        <v>2.8</v>
      </c>
      <c r="AD251" s="30">
        <v>9.6999999999999993</v>
      </c>
      <c r="AE251" s="30">
        <v>14.7</v>
      </c>
      <c r="AF251" s="30">
        <v>16.600000000000001</v>
      </c>
      <c r="AG251" s="30">
        <v>14.8</v>
      </c>
      <c r="AH251" s="30">
        <v>9.5</v>
      </c>
      <c r="AI251" s="30">
        <v>3.6</v>
      </c>
      <c r="AJ251" s="30">
        <v>-1.8</v>
      </c>
      <c r="AK251" s="30">
        <v>-6.6</v>
      </c>
      <c r="AL251" s="30">
        <v>3.2</v>
      </c>
    </row>
    <row r="252" spans="1:38" x14ac:dyDescent="0.25">
      <c r="A252" s="31" t="s">
        <v>850</v>
      </c>
      <c r="B252" s="30">
        <v>-37</v>
      </c>
      <c r="C252" s="30">
        <v>-34</v>
      </c>
      <c r="D252" s="30">
        <v>-33</v>
      </c>
      <c r="E252" s="30">
        <v>-29</v>
      </c>
      <c r="F252" s="30">
        <v>-13</v>
      </c>
      <c r="G252" s="30">
        <v>-51</v>
      </c>
      <c r="H252" s="30">
        <v>7</v>
      </c>
      <c r="I252" s="30">
        <v>148</v>
      </c>
      <c r="J252" s="30">
        <v>-6.2</v>
      </c>
      <c r="K252" s="30">
        <v>223</v>
      </c>
      <c r="L252" s="30">
        <v>-2.7</v>
      </c>
      <c r="M252" s="30">
        <v>243</v>
      </c>
      <c r="N252" s="30">
        <v>-1.8</v>
      </c>
      <c r="O252" s="30">
        <v>86</v>
      </c>
      <c r="P252" s="30">
        <v>85</v>
      </c>
      <c r="Q252" s="30">
        <v>257</v>
      </c>
      <c r="R252" s="30" t="s">
        <v>150</v>
      </c>
      <c r="S252" s="30">
        <v>3.3</v>
      </c>
      <c r="T252" s="30">
        <v>2.8</v>
      </c>
      <c r="U252" s="34">
        <v>0</v>
      </c>
      <c r="Y252" s="31" t="s">
        <v>463</v>
      </c>
      <c r="Z252" s="30">
        <v>-9.3000000000000007</v>
      </c>
      <c r="AA252" s="30">
        <v>-8.4</v>
      </c>
      <c r="AB252" s="30">
        <v>-2.8</v>
      </c>
      <c r="AC252" s="30">
        <v>3.7</v>
      </c>
      <c r="AD252" s="30">
        <v>10.4</v>
      </c>
      <c r="AE252" s="30">
        <v>15.1</v>
      </c>
      <c r="AF252" s="30">
        <v>17.2</v>
      </c>
      <c r="AG252" s="30">
        <v>15</v>
      </c>
      <c r="AH252" s="30">
        <v>9.6999999999999993</v>
      </c>
      <c r="AI252" s="30">
        <v>4</v>
      </c>
      <c r="AJ252" s="30">
        <v>-1.9</v>
      </c>
      <c r="AK252" s="30">
        <v>-6.5</v>
      </c>
      <c r="AL252" s="30">
        <v>3.8</v>
      </c>
    </row>
    <row r="253" spans="1:38" ht="25.5" x14ac:dyDescent="0.25">
      <c r="A253" s="33" t="s">
        <v>462</v>
      </c>
      <c r="B253" s="70"/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  <c r="S253" s="70"/>
      <c r="T253" s="70"/>
      <c r="U253" s="34"/>
      <c r="Y253" s="33" t="s">
        <v>462</v>
      </c>
      <c r="Z253" s="70"/>
      <c r="AA253" s="70"/>
      <c r="AB253" s="70"/>
      <c r="AC253" s="70"/>
      <c r="AD253" s="70"/>
      <c r="AE253" s="70"/>
      <c r="AF253" s="70"/>
      <c r="AG253" s="70"/>
      <c r="AH253" s="70"/>
      <c r="AI253" s="70"/>
      <c r="AJ253" s="70"/>
      <c r="AK253" s="70"/>
      <c r="AL253" s="70"/>
    </row>
    <row r="254" spans="1:38" x14ac:dyDescent="0.25">
      <c r="A254" s="31" t="s">
        <v>461</v>
      </c>
      <c r="B254" s="30">
        <v>-56</v>
      </c>
      <c r="C254" s="30">
        <v>-54</v>
      </c>
      <c r="D254" s="30">
        <v>-54</v>
      </c>
      <c r="E254" s="30">
        <v>-51</v>
      </c>
      <c r="F254" s="30">
        <v>-42</v>
      </c>
      <c r="G254" s="30">
        <v>-58</v>
      </c>
      <c r="H254" s="30">
        <v>7.5</v>
      </c>
      <c r="I254" s="30">
        <v>238</v>
      </c>
      <c r="J254" s="30">
        <v>-24.1</v>
      </c>
      <c r="K254" s="30">
        <v>289</v>
      </c>
      <c r="L254" s="30">
        <v>-19</v>
      </c>
      <c r="M254" s="30">
        <v>304</v>
      </c>
      <c r="N254" s="30">
        <v>-17.7</v>
      </c>
      <c r="O254" s="30">
        <v>73</v>
      </c>
      <c r="P254" s="30">
        <v>72</v>
      </c>
      <c r="Q254" s="30">
        <v>45</v>
      </c>
      <c r="R254" s="30" t="s">
        <v>140</v>
      </c>
      <c r="S254" s="30">
        <v>6.4</v>
      </c>
      <c r="T254" s="30">
        <v>2.5</v>
      </c>
      <c r="U254" s="34">
        <v>4</v>
      </c>
      <c r="V254" s="35">
        <v>5</v>
      </c>
      <c r="Y254" s="31" t="s">
        <v>461</v>
      </c>
      <c r="Z254" s="30">
        <v>-19.600000000000001</v>
      </c>
      <c r="AA254" s="30">
        <v>-19.2</v>
      </c>
      <c r="AB254" s="30">
        <v>-16.7</v>
      </c>
      <c r="AC254" s="30">
        <v>-8.6999999999999993</v>
      </c>
      <c r="AD254" s="30">
        <v>-0.5</v>
      </c>
      <c r="AE254" s="30">
        <v>5.8</v>
      </c>
      <c r="AF254" s="30">
        <v>11.9</v>
      </c>
      <c r="AG254" s="30">
        <v>12.2</v>
      </c>
      <c r="AH254" s="30">
        <v>7.8</v>
      </c>
      <c r="AI254" s="30">
        <v>-1.1000000000000001</v>
      </c>
      <c r="AJ254" s="30">
        <v>-10.7</v>
      </c>
      <c r="AK254" s="30">
        <v>-15.8</v>
      </c>
      <c r="AL254" s="30">
        <v>-4.5999999999999996</v>
      </c>
    </row>
    <row r="255" spans="1:38" x14ac:dyDescent="0.25">
      <c r="A255" s="31" t="s">
        <v>851</v>
      </c>
      <c r="B255" s="30">
        <v>-41</v>
      </c>
      <c r="C255" s="30">
        <v>-37</v>
      </c>
      <c r="D255" s="30">
        <v>-37</v>
      </c>
      <c r="E255" s="30">
        <v>-35</v>
      </c>
      <c r="F255" s="30">
        <v>-23</v>
      </c>
      <c r="G255" s="30">
        <v>-46</v>
      </c>
      <c r="H255" s="30">
        <v>7.1</v>
      </c>
      <c r="I255" s="30">
        <v>214</v>
      </c>
      <c r="J255" s="30">
        <v>-13.3</v>
      </c>
      <c r="K255" s="30">
        <v>278</v>
      </c>
      <c r="L255" s="30">
        <v>-9.3000000000000007</v>
      </c>
      <c r="M255" s="30">
        <v>299</v>
      </c>
      <c r="N255" s="30">
        <v>-8</v>
      </c>
      <c r="O255" s="30">
        <v>78</v>
      </c>
      <c r="P255" s="30">
        <v>77</v>
      </c>
      <c r="Q255" s="30">
        <v>211</v>
      </c>
      <c r="R255" s="30" t="s">
        <v>140</v>
      </c>
      <c r="S255" s="30">
        <v>9.8000000000000007</v>
      </c>
      <c r="T255" s="30">
        <v>5</v>
      </c>
      <c r="U255" s="34">
        <v>4</v>
      </c>
      <c r="V255" s="35">
        <v>5</v>
      </c>
      <c r="Y255" s="31" t="s">
        <v>460</v>
      </c>
      <c r="Z255" s="30">
        <v>-19.7</v>
      </c>
      <c r="AA255" s="30">
        <v>-19.5</v>
      </c>
      <c r="AB255" s="30">
        <v>-15.5</v>
      </c>
      <c r="AC255" s="30">
        <v>-8</v>
      </c>
      <c r="AD255" s="30">
        <v>0</v>
      </c>
      <c r="AE255" s="30">
        <v>6.9</v>
      </c>
      <c r="AF255" s="30">
        <v>12.1</v>
      </c>
      <c r="AG255" s="30">
        <v>12.3</v>
      </c>
      <c r="AH255" s="30">
        <v>7.9</v>
      </c>
      <c r="AI255" s="30">
        <v>-0.4</v>
      </c>
      <c r="AJ255" s="30">
        <v>-10.199999999999999</v>
      </c>
      <c r="AK255" s="30">
        <v>-16.3</v>
      </c>
      <c r="AL255" s="30">
        <v>-4.2</v>
      </c>
    </row>
    <row r="256" spans="1:38" ht="25.5" x14ac:dyDescent="0.25">
      <c r="A256" s="31" t="s">
        <v>852</v>
      </c>
      <c r="B256" s="30">
        <v>-31</v>
      </c>
      <c r="C256" s="30">
        <v>-30</v>
      </c>
      <c r="D256" s="30">
        <v>-31</v>
      </c>
      <c r="E256" s="30">
        <v>-29</v>
      </c>
      <c r="F256" s="30">
        <v>-20</v>
      </c>
      <c r="G256" s="30">
        <v>-35</v>
      </c>
      <c r="H256" s="30">
        <v>4.5</v>
      </c>
      <c r="I256" s="30">
        <v>210</v>
      </c>
      <c r="J256" s="30">
        <v>-11.3</v>
      </c>
      <c r="K256" s="30">
        <v>279</v>
      </c>
      <c r="L256" s="30">
        <v>-7.5</v>
      </c>
      <c r="M256" s="30">
        <v>302</v>
      </c>
      <c r="N256" s="30">
        <v>-6.2</v>
      </c>
      <c r="O256" s="30">
        <v>64</v>
      </c>
      <c r="P256" s="30">
        <v>63</v>
      </c>
      <c r="Q256" s="30">
        <v>114</v>
      </c>
      <c r="R256" s="30" t="s">
        <v>138</v>
      </c>
      <c r="S256" s="30">
        <v>4.5999999999999996</v>
      </c>
      <c r="T256" s="30">
        <v>3.8</v>
      </c>
      <c r="U256" s="34">
        <v>4</v>
      </c>
      <c r="V256" s="35">
        <v>5</v>
      </c>
      <c r="Y256" s="31" t="s">
        <v>459</v>
      </c>
      <c r="Z256" s="30">
        <v>-16.7</v>
      </c>
      <c r="AA256" s="30">
        <v>-15.6</v>
      </c>
      <c r="AB256" s="30">
        <v>-11.5</v>
      </c>
      <c r="AC256" s="30">
        <v>-4.9000000000000004</v>
      </c>
      <c r="AD256" s="30">
        <v>1.5</v>
      </c>
      <c r="AE256" s="30">
        <v>7.4</v>
      </c>
      <c r="AF256" s="30">
        <v>11.5</v>
      </c>
      <c r="AG256" s="30">
        <v>11.9</v>
      </c>
      <c r="AH256" s="30">
        <v>7.3</v>
      </c>
      <c r="AI256" s="30">
        <v>-1.3</v>
      </c>
      <c r="AJ256" s="30">
        <v>-10.5</v>
      </c>
      <c r="AK256" s="30">
        <v>-15</v>
      </c>
      <c r="AL256" s="30">
        <v>-3</v>
      </c>
    </row>
    <row r="257" spans="1:38" x14ac:dyDescent="0.25">
      <c r="A257" s="31" t="s">
        <v>458</v>
      </c>
      <c r="B257" s="30">
        <v>-56</v>
      </c>
      <c r="C257" s="30">
        <v>-53</v>
      </c>
      <c r="D257" s="30">
        <v>-54</v>
      </c>
      <c r="E257" s="30">
        <v>-50</v>
      </c>
      <c r="F257" s="30">
        <v>-38</v>
      </c>
      <c r="G257" s="30">
        <v>-56</v>
      </c>
      <c r="H257" s="30">
        <v>8</v>
      </c>
      <c r="I257" s="30">
        <v>234</v>
      </c>
      <c r="J257" s="30">
        <v>-21.9</v>
      </c>
      <c r="K257" s="30">
        <v>286</v>
      </c>
      <c r="L257" s="30">
        <v>-17.2</v>
      </c>
      <c r="M257" s="30">
        <v>301</v>
      </c>
      <c r="N257" s="30">
        <v>-15.9</v>
      </c>
      <c r="O257" s="30">
        <v>74</v>
      </c>
      <c r="P257" s="30">
        <v>74</v>
      </c>
      <c r="Q257" s="30">
        <v>80</v>
      </c>
      <c r="R257" s="30" t="s">
        <v>138</v>
      </c>
      <c r="S257" s="30">
        <v>6.9</v>
      </c>
      <c r="T257" s="30">
        <v>2.8</v>
      </c>
      <c r="U257" s="34">
        <v>4</v>
      </c>
      <c r="V257" s="35">
        <v>5</v>
      </c>
      <c r="Y257" s="31" t="s">
        <v>458</v>
      </c>
      <c r="Z257" s="30">
        <v>-33.4</v>
      </c>
      <c r="AA257" s="30">
        <v>-31</v>
      </c>
      <c r="AB257" s="30">
        <v>-24.3</v>
      </c>
      <c r="AC257" s="30">
        <v>-12.4</v>
      </c>
      <c r="AD257" s="30">
        <v>0.8</v>
      </c>
      <c r="AE257" s="30">
        <v>10.1</v>
      </c>
      <c r="AF257" s="30">
        <v>13.2</v>
      </c>
      <c r="AG257" s="30">
        <v>10.6</v>
      </c>
      <c r="AH257" s="30">
        <v>3.1</v>
      </c>
      <c r="AI257" s="30">
        <v>-11.3</v>
      </c>
      <c r="AJ257" s="30">
        <v>-26.5</v>
      </c>
      <c r="AK257" s="30">
        <v>-32.5</v>
      </c>
      <c r="AL257" s="30">
        <v>-11.1</v>
      </c>
    </row>
    <row r="258" spans="1:38" x14ac:dyDescent="0.25">
      <c r="A258" s="31" t="s">
        <v>457</v>
      </c>
      <c r="B258" s="30">
        <v>-46</v>
      </c>
      <c r="C258" s="30">
        <v>-41</v>
      </c>
      <c r="D258" s="30">
        <v>-44</v>
      </c>
      <c r="E258" s="30">
        <v>-38</v>
      </c>
      <c r="F258" s="30">
        <v>-27</v>
      </c>
      <c r="G258" s="30">
        <v>-44</v>
      </c>
      <c r="H258" s="30">
        <v>9.1</v>
      </c>
      <c r="I258" s="30">
        <v>222</v>
      </c>
      <c r="J258" s="30">
        <v>-14.6</v>
      </c>
      <c r="K258" s="30">
        <v>280</v>
      </c>
      <c r="L258" s="30">
        <v>-10.7</v>
      </c>
      <c r="M258" s="30">
        <v>301</v>
      </c>
      <c r="N258" s="30">
        <v>-9.3000000000000007</v>
      </c>
      <c r="O258" s="30">
        <v>69</v>
      </c>
      <c r="P258" s="30">
        <v>69</v>
      </c>
      <c r="Q258" s="30">
        <v>77</v>
      </c>
      <c r="R258" s="30" t="s">
        <v>146</v>
      </c>
      <c r="S258" s="30">
        <v>7.6</v>
      </c>
      <c r="T258" s="30">
        <v>3</v>
      </c>
      <c r="U258" s="34">
        <v>4</v>
      </c>
      <c r="V258" s="35">
        <v>5</v>
      </c>
      <c r="Y258" s="31" t="s">
        <v>457</v>
      </c>
      <c r="Z258" s="30">
        <v>-22.1</v>
      </c>
      <c r="AA258" s="30">
        <v>-20.2</v>
      </c>
      <c r="AB258" s="30">
        <v>-16.3</v>
      </c>
      <c r="AC258" s="30">
        <v>-7.7</v>
      </c>
      <c r="AD258" s="30">
        <v>2.2999999999999998</v>
      </c>
      <c r="AE258" s="30">
        <v>9.4</v>
      </c>
      <c r="AF258" s="30">
        <v>12.8</v>
      </c>
      <c r="AG258" s="30">
        <v>11.6</v>
      </c>
      <c r="AH258" s="30">
        <v>5.2</v>
      </c>
      <c r="AI258" s="30">
        <v>-6.7</v>
      </c>
      <c r="AJ258" s="30">
        <v>-16.7</v>
      </c>
      <c r="AK258" s="30">
        <v>-20.3</v>
      </c>
      <c r="AL258" s="30">
        <v>-5.7</v>
      </c>
    </row>
    <row r="259" spans="1:38" x14ac:dyDescent="0.25">
      <c r="A259" s="31" t="s">
        <v>456</v>
      </c>
      <c r="B259" s="30">
        <v>-58</v>
      </c>
      <c r="C259" s="30">
        <v>-53</v>
      </c>
      <c r="D259" s="30">
        <v>-55</v>
      </c>
      <c r="E259" s="30">
        <v>-52</v>
      </c>
      <c r="F259" s="30">
        <v>-42</v>
      </c>
      <c r="G259" s="30">
        <v>-56</v>
      </c>
      <c r="H259" s="30">
        <v>6.3</v>
      </c>
      <c r="I259" s="30">
        <v>229</v>
      </c>
      <c r="J259" s="30">
        <v>-23.9</v>
      </c>
      <c r="K259" s="30">
        <v>274</v>
      </c>
      <c r="L259" s="30">
        <v>-19.3</v>
      </c>
      <c r="M259" s="30">
        <v>287</v>
      </c>
      <c r="N259" s="30">
        <v>-17.899999999999999</v>
      </c>
      <c r="O259" s="30">
        <v>77</v>
      </c>
      <c r="P259" s="30">
        <v>76</v>
      </c>
      <c r="Q259" s="30">
        <v>160</v>
      </c>
      <c r="R259" s="30" t="s">
        <v>155</v>
      </c>
      <c r="S259" s="30">
        <v>2</v>
      </c>
      <c r="T259" s="30">
        <v>1.6</v>
      </c>
      <c r="U259" s="34">
        <v>4</v>
      </c>
      <c r="V259" s="35">
        <v>5</v>
      </c>
      <c r="Y259" s="31" t="s">
        <v>456</v>
      </c>
      <c r="Z259" s="30">
        <v>-36.6</v>
      </c>
      <c r="AA259" s="30">
        <v>-33.4</v>
      </c>
      <c r="AB259" s="30">
        <v>-25.8</v>
      </c>
      <c r="AC259" s="30">
        <v>-12</v>
      </c>
      <c r="AD259" s="30">
        <v>2.8</v>
      </c>
      <c r="AE259" s="30">
        <v>13</v>
      </c>
      <c r="AF259" s="30">
        <v>15.1</v>
      </c>
      <c r="AG259" s="30">
        <v>11.9</v>
      </c>
      <c r="AH259" s="30">
        <v>4</v>
      </c>
      <c r="AI259" s="30">
        <v>-11.3</v>
      </c>
      <c r="AJ259" s="30">
        <v>-28.6</v>
      </c>
      <c r="AK259" s="30">
        <v>-35.799999999999997</v>
      </c>
      <c r="AL259" s="30">
        <v>-11.4</v>
      </c>
    </row>
    <row r="260" spans="1:38" x14ac:dyDescent="0.25">
      <c r="A260" s="31" t="s">
        <v>853</v>
      </c>
      <c r="B260" s="30">
        <v>-58</v>
      </c>
      <c r="C260" s="30">
        <v>-57</v>
      </c>
      <c r="D260" s="30">
        <v>-56</v>
      </c>
      <c r="E260" s="30">
        <v>-54</v>
      </c>
      <c r="F260" s="30">
        <v>-41</v>
      </c>
      <c r="G260" s="30">
        <v>-61</v>
      </c>
      <c r="H260" s="30">
        <v>8.1999999999999993</v>
      </c>
      <c r="I260" s="30">
        <v>231</v>
      </c>
      <c r="J260" s="30">
        <v>-25.5</v>
      </c>
      <c r="K260" s="30">
        <v>274</v>
      </c>
      <c r="L260" s="30">
        <v>-20.8</v>
      </c>
      <c r="M260" s="30">
        <v>292</v>
      </c>
      <c r="N260" s="30">
        <v>-19</v>
      </c>
      <c r="O260" s="30">
        <v>75</v>
      </c>
      <c r="P260" s="30">
        <v>73</v>
      </c>
      <c r="Q260" s="30">
        <v>50</v>
      </c>
      <c r="R260" s="30" t="s">
        <v>138</v>
      </c>
      <c r="S260" s="30">
        <v>3.6</v>
      </c>
      <c r="T260" s="30">
        <v>1.7</v>
      </c>
      <c r="U260" s="34">
        <v>4</v>
      </c>
      <c r="V260" s="35">
        <v>5</v>
      </c>
      <c r="Y260" s="31" t="s">
        <v>455</v>
      </c>
      <c r="Z260" s="30">
        <v>-37.700000000000003</v>
      </c>
      <c r="AA260" s="30">
        <v>-33.6</v>
      </c>
      <c r="AB260" s="30">
        <v>-24.7</v>
      </c>
      <c r="AC260" s="30">
        <v>-11.9</v>
      </c>
      <c r="AD260" s="30">
        <v>2.6</v>
      </c>
      <c r="AE260" s="30">
        <v>11.9</v>
      </c>
      <c r="AF260" s="30">
        <v>14.1</v>
      </c>
      <c r="AG260" s="30">
        <v>10.4</v>
      </c>
      <c r="AH260" s="30">
        <v>2.5</v>
      </c>
      <c r="AI260" s="30">
        <v>-13.5</v>
      </c>
      <c r="AJ260" s="30">
        <v>-29.6</v>
      </c>
      <c r="AK260" s="30">
        <v>-37.700000000000003</v>
      </c>
      <c r="AL260" s="30">
        <v>-12.3</v>
      </c>
    </row>
    <row r="261" spans="1:38" ht="25.5" x14ac:dyDescent="0.25">
      <c r="A261" s="33" t="s">
        <v>454</v>
      </c>
      <c r="B261" s="70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  <c r="S261" s="70"/>
      <c r="T261" s="70"/>
      <c r="U261" s="34"/>
      <c r="Y261" s="33" t="s">
        <v>454</v>
      </c>
      <c r="Z261" s="70"/>
      <c r="AA261" s="70"/>
      <c r="AB261" s="70"/>
      <c r="AC261" s="70"/>
      <c r="AD261" s="70"/>
      <c r="AE261" s="70"/>
      <c r="AF261" s="70"/>
      <c r="AG261" s="70"/>
      <c r="AH261" s="70"/>
      <c r="AI261" s="70"/>
      <c r="AJ261" s="70"/>
      <c r="AK261" s="70"/>
      <c r="AL261" s="70"/>
    </row>
    <row r="262" spans="1:38" x14ac:dyDescent="0.25">
      <c r="A262" s="31" t="s">
        <v>854</v>
      </c>
      <c r="B262" s="30">
        <v>-41</v>
      </c>
      <c r="C262" s="30">
        <v>-37</v>
      </c>
      <c r="D262" s="30">
        <v>-36</v>
      </c>
      <c r="E262" s="30">
        <v>-33</v>
      </c>
      <c r="F262" s="30">
        <v>-17</v>
      </c>
      <c r="G262" s="30">
        <v>-47</v>
      </c>
      <c r="H262" s="30">
        <v>7.2</v>
      </c>
      <c r="I262" s="30">
        <v>154</v>
      </c>
      <c r="J262" s="30">
        <v>-8.4</v>
      </c>
      <c r="K262" s="30">
        <v>215</v>
      </c>
      <c r="L262" s="30">
        <v>-4.9000000000000004</v>
      </c>
      <c r="M262" s="30">
        <v>232</v>
      </c>
      <c r="N262" s="30">
        <v>-3.8</v>
      </c>
      <c r="O262" s="30">
        <v>83</v>
      </c>
      <c r="P262" s="30">
        <v>83</v>
      </c>
      <c r="Q262" s="30">
        <v>160</v>
      </c>
      <c r="R262" s="30" t="s">
        <v>150</v>
      </c>
      <c r="S262" s="30">
        <v>4.9000000000000004</v>
      </c>
      <c r="T262" s="30">
        <v>4.3</v>
      </c>
      <c r="U262" s="34">
        <v>0</v>
      </c>
      <c r="Y262" s="31" t="s">
        <v>453</v>
      </c>
      <c r="Z262" s="30">
        <v>-12.1</v>
      </c>
      <c r="AA262" s="30">
        <v>-11.4</v>
      </c>
      <c r="AB262" s="30">
        <v>-4.5999999999999996</v>
      </c>
      <c r="AC262" s="30">
        <v>4.7</v>
      </c>
      <c r="AD262" s="30">
        <v>12</v>
      </c>
      <c r="AE262" s="30">
        <v>16.5</v>
      </c>
      <c r="AF262" s="30">
        <v>18.600000000000001</v>
      </c>
      <c r="AG262" s="30">
        <v>16.100000000000001</v>
      </c>
      <c r="AH262" s="30">
        <v>10.3</v>
      </c>
      <c r="AI262" s="30">
        <v>3.4</v>
      </c>
      <c r="AJ262" s="30">
        <v>-3.7</v>
      </c>
      <c r="AK262" s="30">
        <v>-9.4</v>
      </c>
      <c r="AL262" s="30">
        <v>3.4</v>
      </c>
    </row>
    <row r="263" spans="1:38" ht="25.5" x14ac:dyDescent="0.25">
      <c r="A263" s="33" t="s">
        <v>452</v>
      </c>
      <c r="B263" s="70"/>
      <c r="C263" s="70"/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  <c r="U263" s="34"/>
      <c r="Y263" s="33" t="s">
        <v>452</v>
      </c>
      <c r="Z263" s="70"/>
      <c r="AA263" s="70"/>
      <c r="AB263" s="70"/>
      <c r="AC263" s="70"/>
      <c r="AD263" s="70"/>
      <c r="AE263" s="70"/>
      <c r="AF263" s="70"/>
      <c r="AG263" s="70"/>
      <c r="AH263" s="70"/>
      <c r="AI263" s="70"/>
      <c r="AJ263" s="70"/>
      <c r="AK263" s="70"/>
      <c r="AL263" s="70"/>
    </row>
    <row r="264" spans="1:38" x14ac:dyDescent="0.25">
      <c r="A264" s="31" t="s">
        <v>451</v>
      </c>
      <c r="B264" s="30">
        <v>-38</v>
      </c>
      <c r="C264" s="30">
        <v>-34</v>
      </c>
      <c r="D264" s="30">
        <v>-34</v>
      </c>
      <c r="E264" s="30">
        <v>-30</v>
      </c>
      <c r="F264" s="30">
        <v>-17</v>
      </c>
      <c r="G264" s="30">
        <v>-44</v>
      </c>
      <c r="H264" s="30">
        <v>6.7</v>
      </c>
      <c r="I264" s="30">
        <v>150</v>
      </c>
      <c r="J264" s="30">
        <v>-7.9</v>
      </c>
      <c r="K264" s="30">
        <v>209</v>
      </c>
      <c r="L264" s="30">
        <v>-4.5</v>
      </c>
      <c r="M264" s="30">
        <v>225</v>
      </c>
      <c r="N264" s="30">
        <v>-3.6</v>
      </c>
      <c r="O264" s="30">
        <v>83</v>
      </c>
      <c r="P264" s="30">
        <v>83</v>
      </c>
      <c r="Q264" s="30">
        <v>155</v>
      </c>
      <c r="R264" s="30" t="s">
        <v>150</v>
      </c>
      <c r="S264" s="30">
        <v>6.9</v>
      </c>
      <c r="T264" s="30">
        <v>5.8</v>
      </c>
      <c r="U264" s="34">
        <v>0</v>
      </c>
      <c r="Y264" s="31" t="s">
        <v>451</v>
      </c>
      <c r="Z264" s="30">
        <v>-12.3</v>
      </c>
      <c r="AA264" s="30">
        <v>-11.7</v>
      </c>
      <c r="AB264" s="30">
        <v>-5.9</v>
      </c>
      <c r="AC264" s="30">
        <v>4.8</v>
      </c>
      <c r="AD264" s="30">
        <v>13.1</v>
      </c>
      <c r="AE264" s="30">
        <v>17.3</v>
      </c>
      <c r="AF264" s="30">
        <v>19.2</v>
      </c>
      <c r="AG264" s="30">
        <v>17.7</v>
      </c>
      <c r="AH264" s="30">
        <v>11.6</v>
      </c>
      <c r="AI264" s="30">
        <v>4.0999999999999996</v>
      </c>
      <c r="AJ264" s="30">
        <v>-3</v>
      </c>
      <c r="AK264" s="30">
        <v>-8.6999999999999993</v>
      </c>
      <c r="AL264" s="30">
        <v>3.9</v>
      </c>
    </row>
    <row r="265" spans="1:38" x14ac:dyDescent="0.25">
      <c r="A265" s="33" t="s">
        <v>450</v>
      </c>
      <c r="B265" s="70"/>
      <c r="C265" s="70"/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  <c r="U265" s="34"/>
      <c r="Y265" s="33" t="s">
        <v>450</v>
      </c>
      <c r="Z265" s="70"/>
      <c r="AA265" s="70"/>
      <c r="AB265" s="70"/>
      <c r="AC265" s="70"/>
      <c r="AD265" s="70"/>
      <c r="AE265" s="70"/>
      <c r="AF265" s="70"/>
      <c r="AG265" s="70"/>
      <c r="AH265" s="70"/>
      <c r="AI265" s="70"/>
      <c r="AJ265" s="70"/>
      <c r="AK265" s="70"/>
      <c r="AL265" s="70"/>
    </row>
    <row r="266" spans="1:38" x14ac:dyDescent="0.25">
      <c r="A266" s="31" t="s">
        <v>449</v>
      </c>
      <c r="B266" s="30">
        <v>-36</v>
      </c>
      <c r="C266" s="30">
        <v>-33</v>
      </c>
      <c r="D266" s="30">
        <v>-32</v>
      </c>
      <c r="E266" s="30">
        <v>-28</v>
      </c>
      <c r="F266" s="30">
        <v>-15</v>
      </c>
      <c r="G266" s="30">
        <v>-43</v>
      </c>
      <c r="H266" s="30">
        <v>6.3</v>
      </c>
      <c r="I266" s="30">
        <v>147</v>
      </c>
      <c r="J266" s="30">
        <v>-6.5</v>
      </c>
      <c r="K266" s="30">
        <v>216</v>
      </c>
      <c r="L266" s="30">
        <v>-3.1</v>
      </c>
      <c r="M266" s="30">
        <v>235</v>
      </c>
      <c r="N266" s="30">
        <v>-2.2000000000000002</v>
      </c>
      <c r="O266" s="30">
        <v>84</v>
      </c>
      <c r="P266" s="30">
        <v>84</v>
      </c>
      <c r="Q266" s="30">
        <v>183</v>
      </c>
      <c r="R266" s="30" t="s">
        <v>150</v>
      </c>
      <c r="S266" s="30">
        <v>5.2</v>
      </c>
      <c r="T266" s="30">
        <v>3.8</v>
      </c>
      <c r="U266" s="34">
        <v>0</v>
      </c>
      <c r="Y266" s="31" t="s">
        <v>449</v>
      </c>
      <c r="Z266" s="30">
        <v>-10.4</v>
      </c>
      <c r="AA266" s="30">
        <v>-9.5</v>
      </c>
      <c r="AB266" s="30">
        <v>-4.4000000000000004</v>
      </c>
      <c r="AC266" s="30">
        <v>4.3</v>
      </c>
      <c r="AD266" s="30">
        <v>11.5</v>
      </c>
      <c r="AE266" s="30">
        <v>15.7</v>
      </c>
      <c r="AF266" s="30">
        <v>17.5</v>
      </c>
      <c r="AG266" s="30">
        <v>15.7</v>
      </c>
      <c r="AH266" s="30">
        <v>10.3</v>
      </c>
      <c r="AI266" s="30">
        <v>4</v>
      </c>
      <c r="AJ266" s="30">
        <v>-2.4</v>
      </c>
      <c r="AK266" s="30">
        <v>-7.2</v>
      </c>
      <c r="AL266" s="30">
        <v>3.8</v>
      </c>
    </row>
    <row r="267" spans="1:38" x14ac:dyDescent="0.25">
      <c r="A267" s="31" t="s">
        <v>448</v>
      </c>
      <c r="B267" s="30">
        <v>-36</v>
      </c>
      <c r="C267" s="30">
        <v>-32</v>
      </c>
      <c r="D267" s="30">
        <v>-31</v>
      </c>
      <c r="E267" s="30">
        <v>-27</v>
      </c>
      <c r="F267" s="30">
        <v>-16</v>
      </c>
      <c r="G267" s="30">
        <v>-44</v>
      </c>
      <c r="H267" s="30">
        <v>6.3</v>
      </c>
      <c r="I267" s="30">
        <v>147</v>
      </c>
      <c r="J267" s="30">
        <v>-6.7</v>
      </c>
      <c r="K267" s="30">
        <v>212</v>
      </c>
      <c r="L267" s="30">
        <v>-3.4</v>
      </c>
      <c r="M267" s="30">
        <v>229</v>
      </c>
      <c r="N267" s="30">
        <v>-2.5</v>
      </c>
      <c r="O267" s="30">
        <v>85</v>
      </c>
      <c r="P267" s="30">
        <v>85</v>
      </c>
      <c r="Q267" s="30">
        <v>167</v>
      </c>
      <c r="R267" s="30" t="s">
        <v>142</v>
      </c>
      <c r="S267" s="30" t="s">
        <v>41</v>
      </c>
      <c r="T267" s="30">
        <v>5</v>
      </c>
      <c r="U267" s="34">
        <v>0</v>
      </c>
      <c r="Y267" s="31" t="s">
        <v>448</v>
      </c>
      <c r="Z267" s="30">
        <v>-10.9</v>
      </c>
      <c r="AA267" s="30">
        <v>-9.8000000000000007</v>
      </c>
      <c r="AB267" s="30">
        <v>-4.5999999999999996</v>
      </c>
      <c r="AC267" s="30">
        <v>4.5999999999999996</v>
      </c>
      <c r="AD267" s="30">
        <v>12.2</v>
      </c>
      <c r="AE267" s="30">
        <v>16.3</v>
      </c>
      <c r="AF267" s="30">
        <v>17.8</v>
      </c>
      <c r="AG267" s="30">
        <v>16.5</v>
      </c>
      <c r="AH267" s="30">
        <v>11</v>
      </c>
      <c r="AI267" s="30">
        <v>4.0999999999999996</v>
      </c>
      <c r="AJ267" s="30">
        <v>-2.2999999999999998</v>
      </c>
      <c r="AK267" s="30">
        <v>-7</v>
      </c>
      <c r="AL267" s="30">
        <v>4</v>
      </c>
    </row>
    <row r="268" spans="1:38" x14ac:dyDescent="0.25">
      <c r="A268" s="31" t="s">
        <v>855</v>
      </c>
      <c r="B268" s="30">
        <v>-35</v>
      </c>
      <c r="C268" s="30">
        <v>-28</v>
      </c>
      <c r="D268" s="30">
        <v>-29</v>
      </c>
      <c r="E268" s="30">
        <v>-25</v>
      </c>
      <c r="F268" s="30">
        <v>-13</v>
      </c>
      <c r="G268" s="30">
        <v>-43</v>
      </c>
      <c r="H268" s="30">
        <v>5.4</v>
      </c>
      <c r="I268" s="30">
        <v>135</v>
      </c>
      <c r="J268" s="30">
        <v>-5.5</v>
      </c>
      <c r="K268" s="30">
        <v>205</v>
      </c>
      <c r="L268" s="30">
        <v>-2.2000000000000002</v>
      </c>
      <c r="M268" s="30">
        <v>223</v>
      </c>
      <c r="N268" s="30">
        <v>-1.3</v>
      </c>
      <c r="O268" s="30">
        <v>83</v>
      </c>
      <c r="P268" s="30">
        <v>82</v>
      </c>
      <c r="Q268" s="30">
        <v>225</v>
      </c>
      <c r="R268" s="30" t="s">
        <v>142</v>
      </c>
      <c r="S268" s="30">
        <v>2</v>
      </c>
      <c r="T268" s="30">
        <v>2</v>
      </c>
      <c r="U268" s="34">
        <v>0</v>
      </c>
      <c r="Y268" s="31" t="s">
        <v>447</v>
      </c>
      <c r="Z268" s="30">
        <v>-7.8</v>
      </c>
      <c r="AA268" s="30">
        <v>-7.1</v>
      </c>
      <c r="AB268" s="30">
        <v>-1.3</v>
      </c>
      <c r="AC268" s="30">
        <v>6.4</v>
      </c>
      <c r="AD268" s="30">
        <v>13</v>
      </c>
      <c r="AE268" s="30">
        <v>16.899999999999999</v>
      </c>
      <c r="AF268" s="30">
        <v>18.7</v>
      </c>
      <c r="AG268" s="30">
        <v>16.8</v>
      </c>
      <c r="AH268" s="30">
        <v>11.1</v>
      </c>
      <c r="AI268" s="30">
        <v>5.2</v>
      </c>
      <c r="AJ268" s="30">
        <v>-1.1000000000000001</v>
      </c>
      <c r="AK268" s="30">
        <v>-5.6</v>
      </c>
      <c r="AL268" s="30">
        <v>5.4</v>
      </c>
    </row>
    <row r="269" spans="1:38" x14ac:dyDescent="0.25">
      <c r="A269" s="33" t="s">
        <v>446</v>
      </c>
      <c r="B269" s="70"/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  <c r="U269" s="34"/>
      <c r="Y269" s="33" t="s">
        <v>446</v>
      </c>
      <c r="Z269" s="70"/>
      <c r="AA269" s="70"/>
      <c r="AB269" s="70"/>
      <c r="AC269" s="70"/>
      <c r="AD269" s="70"/>
      <c r="AE269" s="70"/>
      <c r="AF269" s="70"/>
      <c r="AG269" s="70"/>
      <c r="AH269" s="70"/>
      <c r="AI269" s="70"/>
      <c r="AJ269" s="70"/>
      <c r="AK269" s="70"/>
      <c r="AL269" s="70"/>
    </row>
    <row r="270" spans="1:38" x14ac:dyDescent="0.25">
      <c r="A270" s="31" t="s">
        <v>856</v>
      </c>
      <c r="B270" s="30">
        <v>-23</v>
      </c>
      <c r="C270" s="30">
        <v>-20</v>
      </c>
      <c r="D270" s="30">
        <v>-19</v>
      </c>
      <c r="E270" s="30">
        <v>-16</v>
      </c>
      <c r="F270" s="30">
        <v>-9</v>
      </c>
      <c r="G270" s="30">
        <v>-27</v>
      </c>
      <c r="H270" s="30">
        <v>5.4</v>
      </c>
      <c r="I270" s="30">
        <v>180</v>
      </c>
      <c r="J270" s="30">
        <v>-3.7</v>
      </c>
      <c r="K270" s="30">
        <v>287</v>
      </c>
      <c r="L270" s="30">
        <v>-0.8</v>
      </c>
      <c r="M270" s="30">
        <v>321</v>
      </c>
      <c r="N270" s="30">
        <v>0.3</v>
      </c>
      <c r="O270" s="30">
        <v>85</v>
      </c>
      <c r="P270" s="30">
        <v>84</v>
      </c>
      <c r="Q270" s="30">
        <v>217</v>
      </c>
      <c r="R270" s="30" t="s">
        <v>155</v>
      </c>
      <c r="S270" s="30">
        <v>8.8000000000000007</v>
      </c>
      <c r="T270" s="30">
        <v>7.1</v>
      </c>
      <c r="U270" s="34">
        <v>0</v>
      </c>
      <c r="V270" s="35">
        <v>5</v>
      </c>
      <c r="Y270" s="31" t="s">
        <v>445</v>
      </c>
      <c r="Z270" s="30">
        <v>-5.3</v>
      </c>
      <c r="AA270" s="30">
        <v>-5.9</v>
      </c>
      <c r="AB270" s="30">
        <v>-3.8</v>
      </c>
      <c r="AC270" s="30">
        <v>-1.2</v>
      </c>
      <c r="AD270" s="30">
        <v>2.8</v>
      </c>
      <c r="AE270" s="30">
        <v>7.1</v>
      </c>
      <c r="AF270" s="30">
        <v>10.7</v>
      </c>
      <c r="AG270" s="30">
        <v>10.199999999999999</v>
      </c>
      <c r="AH270" s="30">
        <v>7.1</v>
      </c>
      <c r="AI270" s="30">
        <v>2.4</v>
      </c>
      <c r="AJ270" s="30">
        <v>-1.6</v>
      </c>
      <c r="AK270" s="30">
        <v>-3.5</v>
      </c>
      <c r="AL270" s="30">
        <v>1.6</v>
      </c>
    </row>
    <row r="271" spans="1:38" x14ac:dyDescent="0.25">
      <c r="A271" s="31" t="s">
        <v>857</v>
      </c>
      <c r="B271" s="30">
        <v>-38</v>
      </c>
      <c r="C271" s="30">
        <v>-35</v>
      </c>
      <c r="D271" s="30">
        <v>-34</v>
      </c>
      <c r="E271" s="30">
        <v>-30</v>
      </c>
      <c r="F271" s="30">
        <v>-15</v>
      </c>
      <c r="G271" s="30">
        <v>-44</v>
      </c>
      <c r="H271" s="30">
        <v>8.6</v>
      </c>
      <c r="I271" s="30">
        <v>190</v>
      </c>
      <c r="J271" s="30">
        <v>-8.1</v>
      </c>
      <c r="K271" s="30">
        <v>265</v>
      </c>
      <c r="L271" s="30">
        <v>-4.5999999999999996</v>
      </c>
      <c r="M271" s="30">
        <v>285</v>
      </c>
      <c r="N271" s="30">
        <v>-3.7</v>
      </c>
      <c r="O271" s="30">
        <v>85</v>
      </c>
      <c r="P271" s="30">
        <v>86</v>
      </c>
      <c r="Q271" s="30">
        <v>164</v>
      </c>
      <c r="R271" s="30" t="s">
        <v>165</v>
      </c>
      <c r="S271" s="30">
        <v>3.3</v>
      </c>
      <c r="T271" s="30">
        <v>2.8</v>
      </c>
      <c r="U271" s="34">
        <v>0</v>
      </c>
      <c r="V271" s="35">
        <v>5</v>
      </c>
      <c r="Y271" s="31" t="s">
        <v>444</v>
      </c>
      <c r="Z271" s="30">
        <v>-12.7</v>
      </c>
      <c r="AA271" s="30">
        <v>-12.4</v>
      </c>
      <c r="AB271" s="30">
        <v>-6.8</v>
      </c>
      <c r="AC271" s="30">
        <v>-1.6</v>
      </c>
      <c r="AD271" s="30">
        <v>4.5999999999999996</v>
      </c>
      <c r="AE271" s="30">
        <v>11.2</v>
      </c>
      <c r="AF271" s="30">
        <v>14.5</v>
      </c>
      <c r="AG271" s="30">
        <v>12.1</v>
      </c>
      <c r="AH271" s="30">
        <v>6.8</v>
      </c>
      <c r="AI271" s="30">
        <v>0.8</v>
      </c>
      <c r="AJ271" s="30">
        <v>-5.5</v>
      </c>
      <c r="AK271" s="30">
        <v>-9.6999999999999993</v>
      </c>
      <c r="AL271" s="30">
        <v>0.1</v>
      </c>
    </row>
    <row r="272" spans="1:38" x14ac:dyDescent="0.25">
      <c r="A272" s="31" t="s">
        <v>858</v>
      </c>
      <c r="B272" s="30">
        <v>-41</v>
      </c>
      <c r="C272" s="30">
        <v>-38</v>
      </c>
      <c r="D272" s="30">
        <v>-36</v>
      </c>
      <c r="E272" s="30">
        <v>-35</v>
      </c>
      <c r="F272" s="30">
        <v>-17</v>
      </c>
      <c r="G272" s="30">
        <v>-44</v>
      </c>
      <c r="H272" s="30">
        <v>7.9</v>
      </c>
      <c r="I272" s="30">
        <v>198</v>
      </c>
      <c r="J272" s="30">
        <v>-8.1999999999999993</v>
      </c>
      <c r="K272" s="30">
        <v>271</v>
      </c>
      <c r="L272" s="30">
        <v>-4.9000000000000004</v>
      </c>
      <c r="M272" s="30">
        <v>293</v>
      </c>
      <c r="N272" s="30">
        <v>-3.9</v>
      </c>
      <c r="O272" s="30">
        <v>84</v>
      </c>
      <c r="P272" s="30">
        <v>83</v>
      </c>
      <c r="Q272" s="30">
        <v>159</v>
      </c>
      <c r="R272" s="30" t="s">
        <v>142</v>
      </c>
      <c r="S272" s="30">
        <v>2.7</v>
      </c>
      <c r="T272" s="30">
        <v>2.1</v>
      </c>
      <c r="U272" s="34">
        <v>0</v>
      </c>
      <c r="V272" s="35">
        <v>5</v>
      </c>
      <c r="Y272" s="31" t="s">
        <v>443</v>
      </c>
      <c r="Z272" s="30">
        <v>-12.8</v>
      </c>
      <c r="AA272" s="30">
        <v>-12.3</v>
      </c>
      <c r="AB272" s="30">
        <v>-7.2</v>
      </c>
      <c r="AC272" s="30">
        <v>-2</v>
      </c>
      <c r="AD272" s="30">
        <v>4.2</v>
      </c>
      <c r="AE272" s="30">
        <v>10.8</v>
      </c>
      <c r="AF272" s="30">
        <v>13.7</v>
      </c>
      <c r="AG272" s="30">
        <v>11</v>
      </c>
      <c r="AH272" s="30">
        <v>5.8</v>
      </c>
      <c r="AI272" s="30">
        <v>-0.6</v>
      </c>
      <c r="AJ272" s="30">
        <v>-6.6</v>
      </c>
      <c r="AK272" s="30">
        <v>-10.199999999999999</v>
      </c>
      <c r="AL272" s="30">
        <v>-0.5</v>
      </c>
    </row>
    <row r="273" spans="1:38" x14ac:dyDescent="0.25">
      <c r="A273" s="31" t="s">
        <v>859</v>
      </c>
      <c r="B273" s="30">
        <v>-42</v>
      </c>
      <c r="C273" s="30">
        <v>-40</v>
      </c>
      <c r="D273" s="30">
        <v>-37</v>
      </c>
      <c r="E273" s="30">
        <v>-35</v>
      </c>
      <c r="F273" s="30">
        <v>-17</v>
      </c>
      <c r="G273" s="30">
        <v>-49</v>
      </c>
      <c r="H273" s="30">
        <v>9.3000000000000007</v>
      </c>
      <c r="I273" s="30">
        <v>204</v>
      </c>
      <c r="J273" s="30">
        <v>-8.9</v>
      </c>
      <c r="K273" s="30">
        <v>279</v>
      </c>
      <c r="L273" s="30">
        <v>-5.4</v>
      </c>
      <c r="M273" s="30">
        <v>301</v>
      </c>
      <c r="N273" s="30">
        <v>-4.3</v>
      </c>
      <c r="O273" s="30">
        <v>86</v>
      </c>
      <c r="P273" s="30">
        <v>86</v>
      </c>
      <c r="Q273" s="30">
        <v>141</v>
      </c>
      <c r="R273" s="30" t="s">
        <v>142</v>
      </c>
      <c r="S273" s="30">
        <v>3.6</v>
      </c>
      <c r="T273" s="30">
        <v>2.6</v>
      </c>
      <c r="U273" s="34">
        <v>0</v>
      </c>
      <c r="V273" s="35">
        <v>5</v>
      </c>
      <c r="Y273" s="31" t="s">
        <v>442</v>
      </c>
      <c r="Z273" s="30">
        <v>-13.9</v>
      </c>
      <c r="AA273" s="30">
        <v>-13.8</v>
      </c>
      <c r="AB273" s="30">
        <v>-8.5</v>
      </c>
      <c r="AC273" s="30">
        <v>-3.5</v>
      </c>
      <c r="AD273" s="30">
        <v>2.7</v>
      </c>
      <c r="AE273" s="30">
        <v>9.6</v>
      </c>
      <c r="AF273" s="30">
        <v>13.3</v>
      </c>
      <c r="AG273" s="30">
        <v>10.7</v>
      </c>
      <c r="AH273" s="30">
        <v>5.9</v>
      </c>
      <c r="AI273" s="30">
        <v>-0.5</v>
      </c>
      <c r="AJ273" s="30">
        <v>-6.9</v>
      </c>
      <c r="AK273" s="30">
        <v>-10.6</v>
      </c>
      <c r="AL273" s="30">
        <v>-1.3</v>
      </c>
    </row>
    <row r="274" spans="1:38" x14ac:dyDescent="0.25">
      <c r="A274" s="31" t="s">
        <v>441</v>
      </c>
      <c r="B274" s="30">
        <v>-40</v>
      </c>
      <c r="C274" s="30">
        <v>-38</v>
      </c>
      <c r="D274" s="30">
        <v>-33</v>
      </c>
      <c r="E274" s="30">
        <v>-31</v>
      </c>
      <c r="F274" s="30">
        <v>-19</v>
      </c>
      <c r="G274" s="30">
        <v>-47</v>
      </c>
      <c r="H274" s="30">
        <v>10.3</v>
      </c>
      <c r="I274" s="30">
        <v>204</v>
      </c>
      <c r="J274" s="30">
        <v>-8.5</v>
      </c>
      <c r="K274" s="30">
        <v>281</v>
      </c>
      <c r="L274" s="30">
        <v>-5</v>
      </c>
      <c r="M274" s="30">
        <v>304</v>
      </c>
      <c r="N274" s="30">
        <v>-4</v>
      </c>
      <c r="O274" s="30">
        <v>85</v>
      </c>
      <c r="P274" s="30">
        <v>85</v>
      </c>
      <c r="Q274" s="30">
        <v>114</v>
      </c>
      <c r="R274" s="30" t="s">
        <v>142</v>
      </c>
      <c r="S274" s="30">
        <v>3.9</v>
      </c>
      <c r="T274" s="30">
        <v>3.3</v>
      </c>
      <c r="U274" s="34">
        <v>0</v>
      </c>
      <c r="V274" s="35">
        <v>5</v>
      </c>
      <c r="Y274" s="31" t="s">
        <v>441</v>
      </c>
      <c r="Z274" s="30">
        <v>-13.2</v>
      </c>
      <c r="AA274" s="30">
        <v>-13.8</v>
      </c>
      <c r="AB274" s="30">
        <v>-10.199999999999999</v>
      </c>
      <c r="AC274" s="30">
        <v>-3.8</v>
      </c>
      <c r="AD274" s="30">
        <v>2.4</v>
      </c>
      <c r="AE274" s="30">
        <v>9.1</v>
      </c>
      <c r="AF274" s="30">
        <v>13</v>
      </c>
      <c r="AG274" s="30">
        <v>11.1</v>
      </c>
      <c r="AH274" s="30">
        <v>5.6</v>
      </c>
      <c r="AI274" s="30">
        <v>-0.9</v>
      </c>
      <c r="AJ274" s="30">
        <v>-6.2</v>
      </c>
      <c r="AK274" s="30">
        <v>-10.4</v>
      </c>
      <c r="AL274" s="30">
        <v>-1.4</v>
      </c>
    </row>
    <row r="275" spans="1:38" x14ac:dyDescent="0.25">
      <c r="A275" s="31" t="s">
        <v>440</v>
      </c>
      <c r="B275" s="30">
        <v>-40</v>
      </c>
      <c r="C275" s="30">
        <v>-38</v>
      </c>
      <c r="D275" s="30">
        <v>-34</v>
      </c>
      <c r="E275" s="30">
        <v>-30</v>
      </c>
      <c r="F275" s="30">
        <v>-18</v>
      </c>
      <c r="G275" s="30">
        <v>-44</v>
      </c>
      <c r="H275" s="30">
        <v>9.5</v>
      </c>
      <c r="I275" s="30">
        <v>193</v>
      </c>
      <c r="J275" s="30">
        <v>-7.9</v>
      </c>
      <c r="K275" s="30">
        <v>271</v>
      </c>
      <c r="L275" s="30">
        <v>-4.5</v>
      </c>
      <c r="M275" s="30">
        <v>291</v>
      </c>
      <c r="N275" s="30">
        <v>-3.6</v>
      </c>
      <c r="O275" s="30">
        <v>84</v>
      </c>
      <c r="P275" s="30">
        <v>84</v>
      </c>
      <c r="Q275" s="30">
        <v>126</v>
      </c>
      <c r="R275" s="30" t="s">
        <v>150</v>
      </c>
      <c r="S275" s="30">
        <v>5.7</v>
      </c>
      <c r="T275" s="30">
        <v>4.3</v>
      </c>
      <c r="U275" s="34">
        <v>0</v>
      </c>
      <c r="V275" s="35">
        <v>5</v>
      </c>
      <c r="Y275" s="31" t="s">
        <v>440</v>
      </c>
      <c r="Z275" s="30">
        <v>-12.8</v>
      </c>
      <c r="AA275" s="30">
        <v>-12.7</v>
      </c>
      <c r="AB275" s="30">
        <v>-8.6</v>
      </c>
      <c r="AC275" s="30">
        <v>-2.5</v>
      </c>
      <c r="AD275" s="30">
        <v>3.4</v>
      </c>
      <c r="AE275" s="30">
        <v>10.199999999999999</v>
      </c>
      <c r="AF275" s="30">
        <v>13.8</v>
      </c>
      <c r="AG275" s="30">
        <v>12</v>
      </c>
      <c r="AH275" s="30">
        <v>6.6</v>
      </c>
      <c r="AI275" s="30">
        <v>0.2</v>
      </c>
      <c r="AJ275" s="30">
        <v>-5.4</v>
      </c>
      <c r="AK275" s="30">
        <v>-9.6999999999999993</v>
      </c>
      <c r="AL275" s="30">
        <v>-0.5</v>
      </c>
    </row>
    <row r="276" spans="1:38" x14ac:dyDescent="0.25">
      <c r="A276" s="31" t="s">
        <v>860</v>
      </c>
      <c r="B276" s="30">
        <v>-35</v>
      </c>
      <c r="C276" s="30">
        <v>-33</v>
      </c>
      <c r="D276" s="30">
        <v>-32</v>
      </c>
      <c r="E276" s="30">
        <v>-30</v>
      </c>
      <c r="F276" s="30">
        <v>-14</v>
      </c>
      <c r="G276" s="30">
        <v>-39</v>
      </c>
      <c r="H276" s="30">
        <v>6.5</v>
      </c>
      <c r="I276" s="30">
        <v>189</v>
      </c>
      <c r="J276" s="30">
        <v>-6.9</v>
      </c>
      <c r="K276" s="30">
        <v>275</v>
      </c>
      <c r="L276" s="30">
        <v>-3.4</v>
      </c>
      <c r="M276" s="30">
        <v>300</v>
      </c>
      <c r="N276" s="30">
        <v>-2.4</v>
      </c>
      <c r="O276" s="30">
        <v>84</v>
      </c>
      <c r="P276" s="30">
        <v>84</v>
      </c>
      <c r="Q276" s="30">
        <v>138</v>
      </c>
      <c r="R276" s="30" t="s">
        <v>150</v>
      </c>
      <c r="S276" s="30">
        <v>5.6</v>
      </c>
      <c r="T276" s="30">
        <v>4.9000000000000004</v>
      </c>
      <c r="U276" s="34">
        <v>0</v>
      </c>
      <c r="V276" s="35">
        <v>5</v>
      </c>
      <c r="Y276" s="31" t="s">
        <v>439</v>
      </c>
      <c r="Z276" s="30">
        <v>-10.5</v>
      </c>
      <c r="AA276" s="30">
        <v>-10.4</v>
      </c>
      <c r="AB276" s="30">
        <v>-5.8</v>
      </c>
      <c r="AC276" s="30">
        <v>-1.3</v>
      </c>
      <c r="AD276" s="30">
        <v>3.7</v>
      </c>
      <c r="AE276" s="30">
        <v>9.1999999999999993</v>
      </c>
      <c r="AF276" s="30">
        <v>12.8</v>
      </c>
      <c r="AG276" s="30">
        <v>11.1</v>
      </c>
      <c r="AH276" s="30">
        <v>6.8</v>
      </c>
      <c r="AI276" s="30">
        <v>0.9</v>
      </c>
      <c r="AJ276" s="30">
        <v>-4.9000000000000004</v>
      </c>
      <c r="AK276" s="30">
        <v>-8.1999999999999993</v>
      </c>
      <c r="AL276" s="30">
        <v>0.3</v>
      </c>
    </row>
    <row r="277" spans="1:38" x14ac:dyDescent="0.25">
      <c r="A277" s="31" t="s">
        <v>438</v>
      </c>
      <c r="B277" s="30">
        <v>-46</v>
      </c>
      <c r="C277" s="30">
        <v>-40</v>
      </c>
      <c r="D277" s="30">
        <v>-38</v>
      </c>
      <c r="E277" s="30">
        <v>-36</v>
      </c>
      <c r="F277" s="30">
        <v>-18</v>
      </c>
      <c r="G277" s="30">
        <v>-45</v>
      </c>
      <c r="H277" s="30">
        <v>9</v>
      </c>
      <c r="I277" s="30">
        <v>191</v>
      </c>
      <c r="J277" s="30">
        <v>-8.1999999999999993</v>
      </c>
      <c r="K277" s="30">
        <v>271</v>
      </c>
      <c r="L277" s="30">
        <v>-4.5999999999999996</v>
      </c>
      <c r="M277" s="30">
        <v>292</v>
      </c>
      <c r="N277" s="30">
        <v>-3.6</v>
      </c>
      <c r="O277" s="30">
        <v>83</v>
      </c>
      <c r="P277" s="30">
        <v>83</v>
      </c>
      <c r="Q277" s="30">
        <v>169</v>
      </c>
      <c r="R277" s="30" t="s">
        <v>155</v>
      </c>
      <c r="S277" s="30" t="s">
        <v>41</v>
      </c>
      <c r="T277" s="30">
        <v>2.5</v>
      </c>
      <c r="U277" s="34">
        <v>0</v>
      </c>
      <c r="V277" s="35">
        <v>5</v>
      </c>
      <c r="Y277" s="31" t="s">
        <v>438</v>
      </c>
      <c r="Z277" s="30">
        <v>-13.1</v>
      </c>
      <c r="AA277" s="30">
        <v>-13</v>
      </c>
      <c r="AB277" s="30">
        <v>-8.1</v>
      </c>
      <c r="AC277" s="30">
        <v>-1.7</v>
      </c>
      <c r="AD277" s="30">
        <v>4.2</v>
      </c>
      <c r="AE277" s="30">
        <v>10.5</v>
      </c>
      <c r="AF277" s="30">
        <v>13.5</v>
      </c>
      <c r="AG277" s="30">
        <v>11.6</v>
      </c>
      <c r="AH277" s="30">
        <v>6.3</v>
      </c>
      <c r="AI277" s="30">
        <v>-0.1</v>
      </c>
      <c r="AJ277" s="30">
        <v>-6.1</v>
      </c>
      <c r="AK277" s="30">
        <v>-10.199999999999999</v>
      </c>
      <c r="AL277" s="30">
        <v>-0.5</v>
      </c>
    </row>
    <row r="278" spans="1:38" x14ac:dyDescent="0.25">
      <c r="A278" s="31" t="s">
        <v>437</v>
      </c>
      <c r="B278" s="30">
        <v>-44</v>
      </c>
      <c r="C278" s="30">
        <v>-39</v>
      </c>
      <c r="D278" s="30">
        <v>-40</v>
      </c>
      <c r="E278" s="30">
        <v>-35</v>
      </c>
      <c r="F278" s="30">
        <v>-19</v>
      </c>
      <c r="G278" s="30">
        <v>-47</v>
      </c>
      <c r="H278" s="30">
        <v>9.3000000000000007</v>
      </c>
      <c r="I278" s="30">
        <v>198</v>
      </c>
      <c r="J278" s="30">
        <v>-8.3000000000000007</v>
      </c>
      <c r="K278" s="30">
        <v>277</v>
      </c>
      <c r="L278" s="30">
        <v>-4.8</v>
      </c>
      <c r="M278" s="30">
        <v>299</v>
      </c>
      <c r="N278" s="30">
        <v>-3.8</v>
      </c>
      <c r="O278" s="30">
        <v>84</v>
      </c>
      <c r="P278" s="30">
        <v>81</v>
      </c>
      <c r="Q278" s="30">
        <v>129</v>
      </c>
      <c r="R278" s="30" t="s">
        <v>150</v>
      </c>
      <c r="S278" s="30">
        <v>2.5</v>
      </c>
      <c r="T278" s="30">
        <v>3</v>
      </c>
      <c r="U278" s="34">
        <v>0</v>
      </c>
      <c r="V278" s="35">
        <v>5</v>
      </c>
      <c r="Y278" s="31" t="s">
        <v>437</v>
      </c>
      <c r="Z278" s="30">
        <v>-13.4</v>
      </c>
      <c r="AA278" s="30">
        <v>-13.6</v>
      </c>
      <c r="AB278" s="30">
        <v>-9.4</v>
      </c>
      <c r="AC278" s="30">
        <v>-3</v>
      </c>
      <c r="AD278" s="30">
        <v>3.1</v>
      </c>
      <c r="AE278" s="30">
        <v>9.6</v>
      </c>
      <c r="AF278" s="30">
        <v>13.4</v>
      </c>
      <c r="AG278" s="30">
        <v>11.4</v>
      </c>
      <c r="AH278" s="30">
        <v>6</v>
      </c>
      <c r="AI278" s="30">
        <v>-0.3</v>
      </c>
      <c r="AJ278" s="30">
        <v>-5.8</v>
      </c>
      <c r="AK278" s="30">
        <v>-10.1</v>
      </c>
      <c r="AL278" s="30">
        <v>-1</v>
      </c>
    </row>
    <row r="279" spans="1:38" x14ac:dyDescent="0.25">
      <c r="A279" s="31" t="s">
        <v>436</v>
      </c>
      <c r="B279" s="30">
        <v>-32</v>
      </c>
      <c r="C279" s="30">
        <v>-29</v>
      </c>
      <c r="D279" s="30">
        <v>-28</v>
      </c>
      <c r="E279" s="30">
        <v>-25</v>
      </c>
      <c r="F279" s="30">
        <v>-16</v>
      </c>
      <c r="G279" s="30">
        <v>-38</v>
      </c>
      <c r="H279" s="30">
        <v>7.2</v>
      </c>
      <c r="I279" s="30">
        <v>194</v>
      </c>
      <c r="J279" s="30">
        <v>-6.5</v>
      </c>
      <c r="K279" s="30">
        <v>298</v>
      </c>
      <c r="L279" s="30">
        <v>-2.8</v>
      </c>
      <c r="M279" s="30">
        <v>354</v>
      </c>
      <c r="N279" s="30">
        <v>-0.9</v>
      </c>
      <c r="O279" s="30">
        <v>86</v>
      </c>
      <c r="P279" s="30">
        <v>86</v>
      </c>
      <c r="Q279" s="30">
        <v>133</v>
      </c>
      <c r="R279" s="30" t="s">
        <v>155</v>
      </c>
      <c r="S279" s="30" t="s">
        <v>41</v>
      </c>
      <c r="T279" s="30">
        <v>5.7</v>
      </c>
      <c r="U279" s="34">
        <v>0</v>
      </c>
      <c r="V279" s="35">
        <v>5</v>
      </c>
      <c r="Y279" s="31" t="s">
        <v>436</v>
      </c>
      <c r="Z279" s="30">
        <v>-10</v>
      </c>
      <c r="AA279" s="30">
        <v>-11.2</v>
      </c>
      <c r="AB279" s="30">
        <v>-8.9</v>
      </c>
      <c r="AC279" s="30">
        <v>-3.7</v>
      </c>
      <c r="AD279" s="30">
        <v>1.4</v>
      </c>
      <c r="AE279" s="30">
        <v>6.8</v>
      </c>
      <c r="AF279" s="30">
        <v>10.1</v>
      </c>
      <c r="AG279" s="30">
        <v>9.8000000000000007</v>
      </c>
      <c r="AH279" s="30">
        <v>6.4</v>
      </c>
      <c r="AI279" s="30">
        <v>1.3</v>
      </c>
      <c r="AJ279" s="30">
        <v>-2.8</v>
      </c>
      <c r="AK279" s="30">
        <v>-6.4</v>
      </c>
      <c r="AL279" s="30">
        <v>-0.6</v>
      </c>
    </row>
    <row r="280" spans="1:38" x14ac:dyDescent="0.25">
      <c r="A280" s="31" t="s">
        <v>861</v>
      </c>
      <c r="B280" s="30">
        <v>-26</v>
      </c>
      <c r="C280" s="30">
        <v>-24</v>
      </c>
      <c r="D280" s="30">
        <v>-23</v>
      </c>
      <c r="E280" s="30">
        <v>-22</v>
      </c>
      <c r="F280" s="30">
        <v>-11</v>
      </c>
      <c r="G280" s="30">
        <v>-31</v>
      </c>
      <c r="H280" s="30">
        <v>5.8</v>
      </c>
      <c r="I280" s="30">
        <v>190</v>
      </c>
      <c r="J280" s="30">
        <v>-5.2</v>
      </c>
      <c r="K280" s="30">
        <v>282</v>
      </c>
      <c r="L280" s="30">
        <v>-2.2000000000000002</v>
      </c>
      <c r="M280" s="30">
        <v>313</v>
      </c>
      <c r="N280" s="30">
        <v>-1.1000000000000001</v>
      </c>
      <c r="O280" s="30">
        <v>79</v>
      </c>
      <c r="P280" s="30">
        <v>79</v>
      </c>
      <c r="Q280" s="30">
        <v>149</v>
      </c>
      <c r="R280" s="30" t="s">
        <v>150</v>
      </c>
      <c r="S280" s="30">
        <v>9.1999999999999993</v>
      </c>
      <c r="T280" s="30">
        <v>7.9</v>
      </c>
      <c r="U280" s="34">
        <v>0</v>
      </c>
      <c r="V280" s="35">
        <v>5</v>
      </c>
      <c r="Y280" s="31" t="s">
        <v>435</v>
      </c>
      <c r="Z280" s="30">
        <v>-7.6</v>
      </c>
      <c r="AA280" s="30">
        <v>-8.1999999999999993</v>
      </c>
      <c r="AB280" s="30">
        <v>-5.2</v>
      </c>
      <c r="AC280" s="30">
        <v>-1.9</v>
      </c>
      <c r="AD280" s="30">
        <v>2.6</v>
      </c>
      <c r="AE280" s="30">
        <v>7.5</v>
      </c>
      <c r="AF280" s="30">
        <v>11.4</v>
      </c>
      <c r="AG280" s="30">
        <v>10.6</v>
      </c>
      <c r="AH280" s="30">
        <v>7.1</v>
      </c>
      <c r="AI280" s="30">
        <v>1.7</v>
      </c>
      <c r="AJ280" s="30">
        <v>-3.2</v>
      </c>
      <c r="AK280" s="30">
        <v>-5.7</v>
      </c>
      <c r="AL280" s="30">
        <v>0.8</v>
      </c>
    </row>
    <row r="281" spans="1:38" x14ac:dyDescent="0.25">
      <c r="A281" s="31" t="s">
        <v>434</v>
      </c>
      <c r="B281" s="30">
        <v>-29</v>
      </c>
      <c r="C281" s="30">
        <v>-27</v>
      </c>
      <c r="D281" s="30">
        <v>-24</v>
      </c>
      <c r="E281" s="30">
        <v>-22</v>
      </c>
      <c r="F281" s="30">
        <v>-16</v>
      </c>
      <c r="G281" s="30">
        <v>-38</v>
      </c>
      <c r="H281" s="30">
        <v>6.5</v>
      </c>
      <c r="I281" s="30">
        <v>200</v>
      </c>
      <c r="J281" s="30">
        <v>-6.3</v>
      </c>
      <c r="K281" s="30">
        <v>312</v>
      </c>
      <c r="L281" s="30">
        <v>-2.5</v>
      </c>
      <c r="M281" s="30">
        <v>365</v>
      </c>
      <c r="N281" s="30">
        <v>-0.9</v>
      </c>
      <c r="O281" s="30">
        <v>87</v>
      </c>
      <c r="P281" s="30">
        <v>87</v>
      </c>
      <c r="Q281" s="30">
        <v>134</v>
      </c>
      <c r="R281" s="30" t="s">
        <v>155</v>
      </c>
      <c r="S281" s="30" t="s">
        <v>41</v>
      </c>
      <c r="T281" s="30">
        <v>7.1</v>
      </c>
      <c r="U281" s="34">
        <v>0</v>
      </c>
      <c r="V281" s="35">
        <v>5</v>
      </c>
      <c r="Y281" s="31" t="s">
        <v>434</v>
      </c>
      <c r="Z281" s="30">
        <v>-9.9</v>
      </c>
      <c r="AA281" s="30">
        <v>-11.1</v>
      </c>
      <c r="AB281" s="30">
        <v>-8.8000000000000007</v>
      </c>
      <c r="AC281" s="30">
        <v>-3.6</v>
      </c>
      <c r="AD281" s="30">
        <v>0.7</v>
      </c>
      <c r="AE281" s="30">
        <v>5.4</v>
      </c>
      <c r="AF281" s="30">
        <v>9</v>
      </c>
      <c r="AG281" s="30">
        <v>9.3000000000000007</v>
      </c>
      <c r="AH281" s="30">
        <v>6.4</v>
      </c>
      <c r="AI281" s="30">
        <v>0.9</v>
      </c>
      <c r="AJ281" s="30">
        <v>-3.3</v>
      </c>
      <c r="AK281" s="30">
        <v>-6.2</v>
      </c>
      <c r="AL281" s="30">
        <v>-0.9</v>
      </c>
    </row>
    <row r="282" spans="1:38" x14ac:dyDescent="0.25">
      <c r="A282" s="31" t="s">
        <v>862</v>
      </c>
      <c r="B282" s="30">
        <v>-37</v>
      </c>
      <c r="C282" s="30">
        <v>-34</v>
      </c>
      <c r="D282" s="30">
        <v>-32</v>
      </c>
      <c r="E282" s="30">
        <v>-31</v>
      </c>
      <c r="F282" s="30">
        <v>-15</v>
      </c>
      <c r="G282" s="30">
        <v>-40</v>
      </c>
      <c r="H282" s="30">
        <v>7.1</v>
      </c>
      <c r="I282" s="30">
        <v>187</v>
      </c>
      <c r="J282" s="30">
        <v>-7.3</v>
      </c>
      <c r="K282" s="30">
        <v>263</v>
      </c>
      <c r="L282" s="30">
        <v>-4</v>
      </c>
      <c r="M282" s="30">
        <v>284</v>
      </c>
      <c r="N282" s="30">
        <v>-3.1</v>
      </c>
      <c r="O282" s="30">
        <v>86</v>
      </c>
      <c r="P282" s="30">
        <v>85</v>
      </c>
      <c r="Q282" s="30">
        <v>164</v>
      </c>
      <c r="R282" s="30" t="s">
        <v>165</v>
      </c>
      <c r="S282" s="30">
        <v>4.7</v>
      </c>
      <c r="T282" s="30">
        <v>3.9</v>
      </c>
      <c r="U282" s="34">
        <v>0</v>
      </c>
      <c r="V282" s="35">
        <v>5</v>
      </c>
      <c r="Y282" s="31" t="s">
        <v>433</v>
      </c>
      <c r="Z282" s="30">
        <v>-11.5</v>
      </c>
      <c r="AA282" s="30">
        <v>-11.5</v>
      </c>
      <c r="AB282" s="30">
        <v>-6.4</v>
      </c>
      <c r="AC282" s="30">
        <v>-1.5</v>
      </c>
      <c r="AD282" s="30">
        <v>4.3</v>
      </c>
      <c r="AE282" s="30">
        <v>10.8</v>
      </c>
      <c r="AF282" s="30">
        <v>14.4</v>
      </c>
      <c r="AG282" s="30">
        <v>12.2</v>
      </c>
      <c r="AH282" s="30">
        <v>7.5</v>
      </c>
      <c r="AI282" s="30">
        <v>1.4</v>
      </c>
      <c r="AJ282" s="30">
        <v>-4.4000000000000004</v>
      </c>
      <c r="AK282" s="30">
        <v>-8.3000000000000007</v>
      </c>
      <c r="AL282" s="30">
        <v>0.6</v>
      </c>
    </row>
    <row r="283" spans="1:38" x14ac:dyDescent="0.25">
      <c r="A283" s="31" t="s">
        <v>432</v>
      </c>
      <c r="B283" s="30">
        <v>-31</v>
      </c>
      <c r="C283" s="30">
        <v>-26</v>
      </c>
      <c r="D283" s="30">
        <v>-27</v>
      </c>
      <c r="E283" s="30">
        <v>-24</v>
      </c>
      <c r="F283" s="30">
        <v>-18</v>
      </c>
      <c r="G283" s="30">
        <v>-35</v>
      </c>
      <c r="H283" s="30">
        <v>4.8</v>
      </c>
      <c r="I283" s="30">
        <v>243</v>
      </c>
      <c r="J283" s="30">
        <v>-8.1</v>
      </c>
      <c r="K283" s="30">
        <v>340</v>
      </c>
      <c r="L283" s="30">
        <v>-4.5</v>
      </c>
      <c r="M283" s="30">
        <v>365</v>
      </c>
      <c r="N283" s="30">
        <v>-3.7</v>
      </c>
      <c r="O283" s="30">
        <v>92</v>
      </c>
      <c r="P283" s="30">
        <v>91</v>
      </c>
      <c r="Q283" s="30">
        <v>389</v>
      </c>
      <c r="R283" s="30" t="s">
        <v>155</v>
      </c>
      <c r="S283" s="30" t="s">
        <v>41</v>
      </c>
      <c r="T283" s="30">
        <v>5.0999999999999996</v>
      </c>
      <c r="U283" s="34">
        <v>0</v>
      </c>
      <c r="V283" s="35">
        <v>5</v>
      </c>
      <c r="Y283" s="31" t="s">
        <v>432</v>
      </c>
      <c r="Z283" s="30">
        <v>-12.2</v>
      </c>
      <c r="AA283" s="30">
        <v>-12.6</v>
      </c>
      <c r="AB283" s="30">
        <v>-10.9</v>
      </c>
      <c r="AC283" s="30">
        <v>-6.9</v>
      </c>
      <c r="AD283" s="30">
        <v>-1.9</v>
      </c>
      <c r="AE283" s="30">
        <v>4.9000000000000004</v>
      </c>
      <c r="AF283" s="30">
        <v>9</v>
      </c>
      <c r="AG283" s="30">
        <v>7.2</v>
      </c>
      <c r="AH283" s="30">
        <v>1.5</v>
      </c>
      <c r="AI283" s="30">
        <v>-4.0999999999999996</v>
      </c>
      <c r="AJ283" s="30">
        <v>-7.7</v>
      </c>
      <c r="AK283" s="30">
        <v>-10.4</v>
      </c>
      <c r="AL283" s="30">
        <v>-3.7</v>
      </c>
    </row>
    <row r="284" spans="1:38" ht="25.5" x14ac:dyDescent="0.25">
      <c r="A284" s="33" t="s">
        <v>431</v>
      </c>
      <c r="B284" s="70"/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  <c r="U284" s="34"/>
      <c r="Y284" s="33" t="s">
        <v>431</v>
      </c>
      <c r="Z284" s="70"/>
      <c r="AA284" s="70"/>
      <c r="AB284" s="70"/>
      <c r="AC284" s="70"/>
      <c r="AD284" s="70"/>
      <c r="AE284" s="70"/>
      <c r="AF284" s="70"/>
      <c r="AG284" s="70"/>
      <c r="AH284" s="70"/>
      <c r="AI284" s="70"/>
      <c r="AJ284" s="70"/>
      <c r="AK284" s="70"/>
      <c r="AL284" s="70"/>
    </row>
    <row r="285" spans="1:38" x14ac:dyDescent="0.25">
      <c r="A285" s="31" t="s">
        <v>430</v>
      </c>
      <c r="B285" s="30">
        <v>-40</v>
      </c>
      <c r="C285" s="30">
        <v>-36</v>
      </c>
      <c r="D285" s="30">
        <v>-35</v>
      </c>
      <c r="E285" s="30">
        <v>-32</v>
      </c>
      <c r="F285" s="30">
        <v>-17</v>
      </c>
      <c r="G285" s="30">
        <v>-43</v>
      </c>
      <c r="H285" s="30">
        <v>7</v>
      </c>
      <c r="I285" s="30">
        <v>156</v>
      </c>
      <c r="J285" s="30">
        <v>-8.1</v>
      </c>
      <c r="K285" s="30">
        <v>216</v>
      </c>
      <c r="L285" s="30">
        <v>-4.7</v>
      </c>
      <c r="M285" s="30">
        <v>232</v>
      </c>
      <c r="N285" s="30">
        <v>-3.8</v>
      </c>
      <c r="O285" s="30">
        <v>85</v>
      </c>
      <c r="P285" s="30">
        <v>84</v>
      </c>
      <c r="Q285" s="30">
        <v>238</v>
      </c>
      <c r="R285" s="30" t="s">
        <v>155</v>
      </c>
      <c r="S285" s="30">
        <v>7.5</v>
      </c>
      <c r="T285" s="30">
        <v>4.0999999999999996</v>
      </c>
      <c r="U285" s="34">
        <v>0</v>
      </c>
      <c r="Y285" s="31" t="s">
        <v>430</v>
      </c>
      <c r="Z285" s="30">
        <v>-12.4</v>
      </c>
      <c r="AA285" s="30">
        <v>-11.9</v>
      </c>
      <c r="AB285" s="30">
        <v>-6.5</v>
      </c>
      <c r="AC285" s="30">
        <v>3.5</v>
      </c>
      <c r="AD285" s="30">
        <v>12</v>
      </c>
      <c r="AE285" s="30">
        <v>16.899999999999999</v>
      </c>
      <c r="AF285" s="30">
        <v>18.8</v>
      </c>
      <c r="AG285" s="30">
        <v>17.2</v>
      </c>
      <c r="AH285" s="30">
        <v>10.8</v>
      </c>
      <c r="AI285" s="30">
        <v>3.5</v>
      </c>
      <c r="AJ285" s="30">
        <v>-3.6</v>
      </c>
      <c r="AK285" s="30">
        <v>-9.4</v>
      </c>
      <c r="AL285" s="30">
        <v>3.2</v>
      </c>
    </row>
    <row r="286" spans="1:38" x14ac:dyDescent="0.25">
      <c r="A286" s="31" t="s">
        <v>429</v>
      </c>
      <c r="B286" s="30">
        <v>-38</v>
      </c>
      <c r="C286" s="30">
        <v>-34</v>
      </c>
      <c r="D286" s="30">
        <v>-33</v>
      </c>
      <c r="E286" s="30">
        <v>-30</v>
      </c>
      <c r="F286" s="30">
        <v>-16</v>
      </c>
      <c r="G286" s="30">
        <v>-45</v>
      </c>
      <c r="H286" s="30">
        <v>6.9</v>
      </c>
      <c r="I286" s="30">
        <v>149</v>
      </c>
      <c r="J286" s="30">
        <v>-7.3</v>
      </c>
      <c r="K286" s="30">
        <v>212</v>
      </c>
      <c r="L286" s="30">
        <v>-4</v>
      </c>
      <c r="M286" s="30">
        <v>228</v>
      </c>
      <c r="N286" s="30">
        <v>-3.1</v>
      </c>
      <c r="O286" s="30">
        <v>85</v>
      </c>
      <c r="P286" s="30">
        <v>82</v>
      </c>
      <c r="Q286" s="30">
        <v>232</v>
      </c>
      <c r="R286" s="30" t="s">
        <v>155</v>
      </c>
      <c r="S286" s="30" t="s">
        <v>41</v>
      </c>
      <c r="T286" s="30">
        <v>3.4</v>
      </c>
      <c r="U286" s="34">
        <v>0</v>
      </c>
      <c r="Y286" s="31" t="s">
        <v>429</v>
      </c>
      <c r="Z286" s="30">
        <v>-11.3</v>
      </c>
      <c r="AA286" s="30">
        <v>-10.8</v>
      </c>
      <c r="AB286" s="30">
        <v>-5.0999999999999996</v>
      </c>
      <c r="AC286" s="30">
        <v>4.4000000000000004</v>
      </c>
      <c r="AD286" s="30">
        <v>12.5</v>
      </c>
      <c r="AE286" s="30">
        <v>16.8</v>
      </c>
      <c r="AF286" s="30">
        <v>18.899999999999999</v>
      </c>
      <c r="AG286" s="30">
        <v>17</v>
      </c>
      <c r="AH286" s="30">
        <v>11.1</v>
      </c>
      <c r="AI286" s="30">
        <v>4</v>
      </c>
      <c r="AJ286" s="30">
        <v>-2.8</v>
      </c>
      <c r="AK286" s="30">
        <v>-8.5</v>
      </c>
      <c r="AL286" s="30">
        <v>3.8</v>
      </c>
    </row>
    <row r="287" spans="1:38" x14ac:dyDescent="0.25">
      <c r="A287" s="31" t="s">
        <v>428</v>
      </c>
      <c r="B287" s="30">
        <v>-38</v>
      </c>
      <c r="C287" s="30">
        <v>-34</v>
      </c>
      <c r="D287" s="30">
        <v>-34</v>
      </c>
      <c r="E287" s="30">
        <v>-31</v>
      </c>
      <c r="F287" s="30">
        <v>-17</v>
      </c>
      <c r="G287" s="30">
        <v>-41</v>
      </c>
      <c r="H287" s="30">
        <v>6.1</v>
      </c>
      <c r="I287" s="30">
        <v>151</v>
      </c>
      <c r="J287" s="30">
        <v>-7.5</v>
      </c>
      <c r="K287" s="30">
        <v>215</v>
      </c>
      <c r="L287" s="30">
        <v>-4.0999999999999996</v>
      </c>
      <c r="M287" s="30">
        <v>231</v>
      </c>
      <c r="N287" s="30">
        <v>-3.2</v>
      </c>
      <c r="O287" s="30">
        <v>84</v>
      </c>
      <c r="P287" s="30">
        <v>80</v>
      </c>
      <c r="Q287" s="30">
        <v>172</v>
      </c>
      <c r="R287" s="30" t="s">
        <v>155</v>
      </c>
      <c r="S287" s="30">
        <v>5.0999999999999996</v>
      </c>
      <c r="T287" s="30">
        <v>3.7</v>
      </c>
      <c r="U287" s="34">
        <v>0</v>
      </c>
      <c r="Y287" s="31" t="s">
        <v>428</v>
      </c>
      <c r="Z287" s="30">
        <v>-11.8</v>
      </c>
      <c r="AA287" s="30">
        <v>-11.1</v>
      </c>
      <c r="AB287" s="30">
        <v>-5</v>
      </c>
      <c r="AC287" s="30">
        <v>4.2</v>
      </c>
      <c r="AD287" s="30">
        <v>12</v>
      </c>
      <c r="AE287" s="30">
        <v>16.399999999999999</v>
      </c>
      <c r="AF287" s="30">
        <v>18.399999999999999</v>
      </c>
      <c r="AG287" s="30">
        <v>16.899999999999999</v>
      </c>
      <c r="AH287" s="30">
        <v>11</v>
      </c>
      <c r="AI287" s="30">
        <v>3.6</v>
      </c>
      <c r="AJ287" s="30">
        <v>-2.8</v>
      </c>
      <c r="AK287" s="30">
        <v>-8.9</v>
      </c>
      <c r="AL287" s="30">
        <v>3.6</v>
      </c>
    </row>
    <row r="288" spans="1:38" ht="25.5" x14ac:dyDescent="0.25">
      <c r="A288" s="33" t="s">
        <v>427</v>
      </c>
      <c r="B288" s="70"/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70"/>
      <c r="U288" s="34"/>
      <c r="Y288" s="33" t="s">
        <v>427</v>
      </c>
      <c r="Z288" s="70"/>
      <c r="AA288" s="70"/>
      <c r="AB288" s="70"/>
      <c r="AC288" s="70"/>
      <c r="AD288" s="70"/>
      <c r="AE288" s="70"/>
      <c r="AF288" s="70"/>
      <c r="AG288" s="70"/>
      <c r="AH288" s="70"/>
      <c r="AI288" s="70"/>
      <c r="AJ288" s="70"/>
      <c r="AK288" s="70"/>
      <c r="AL288" s="70"/>
    </row>
    <row r="289" spans="1:38" x14ac:dyDescent="0.25">
      <c r="A289" s="31" t="s">
        <v>426</v>
      </c>
      <c r="B289" s="30">
        <v>-39</v>
      </c>
      <c r="C289" s="30">
        <v>-34</v>
      </c>
      <c r="D289" s="30">
        <v>-32</v>
      </c>
      <c r="E289" s="30">
        <v>-29</v>
      </c>
      <c r="F289" s="30">
        <v>-13</v>
      </c>
      <c r="G289" s="30">
        <v>-54</v>
      </c>
      <c r="H289" s="30">
        <v>6.6</v>
      </c>
      <c r="I289" s="30">
        <v>145</v>
      </c>
      <c r="J289" s="30">
        <v>-6.4</v>
      </c>
      <c r="K289" s="30">
        <v>220</v>
      </c>
      <c r="L289" s="30">
        <v>-2.8</v>
      </c>
      <c r="M289" s="30">
        <v>239</v>
      </c>
      <c r="N289" s="30">
        <v>-1.8</v>
      </c>
      <c r="O289" s="30">
        <v>85</v>
      </c>
      <c r="P289" s="30">
        <v>83</v>
      </c>
      <c r="Q289" s="30">
        <v>144</v>
      </c>
      <c r="R289" s="30" t="s">
        <v>185</v>
      </c>
      <c r="S289" s="30">
        <v>3.9</v>
      </c>
      <c r="T289" s="30">
        <v>3.4</v>
      </c>
      <c r="U289" s="34">
        <v>0</v>
      </c>
      <c r="Y289" s="31" t="s">
        <v>426</v>
      </c>
      <c r="Z289" s="30">
        <v>-9.8000000000000007</v>
      </c>
      <c r="AA289" s="30">
        <v>-8.8000000000000007</v>
      </c>
      <c r="AB289" s="30">
        <v>-3.8</v>
      </c>
      <c r="AC289" s="30">
        <v>3.8</v>
      </c>
      <c r="AD289" s="30">
        <v>11</v>
      </c>
      <c r="AE289" s="30">
        <v>15.4</v>
      </c>
      <c r="AF289" s="30">
        <v>17.399999999999999</v>
      </c>
      <c r="AG289" s="30">
        <v>15.4</v>
      </c>
      <c r="AH289" s="30">
        <v>10</v>
      </c>
      <c r="AI289" s="30">
        <v>4.2</v>
      </c>
      <c r="AJ289" s="30">
        <v>-1.6</v>
      </c>
      <c r="AK289" s="30">
        <v>-6.7</v>
      </c>
      <c r="AL289" s="30">
        <v>3.9</v>
      </c>
    </row>
    <row r="290" spans="1:38" x14ac:dyDescent="0.25">
      <c r="A290" s="31" t="s">
        <v>425</v>
      </c>
      <c r="B290" s="30">
        <v>-38</v>
      </c>
      <c r="C290" s="30">
        <v>-31</v>
      </c>
      <c r="D290" s="30">
        <v>-33</v>
      </c>
      <c r="E290" s="30">
        <v>-27</v>
      </c>
      <c r="F290" s="30">
        <v>-14</v>
      </c>
      <c r="G290" s="30">
        <v>-45</v>
      </c>
      <c r="H290" s="30">
        <v>6.8</v>
      </c>
      <c r="I290" s="30">
        <v>143</v>
      </c>
      <c r="J290" s="30">
        <v>-5.7</v>
      </c>
      <c r="K290" s="30">
        <v>221</v>
      </c>
      <c r="L290" s="30">
        <v>-2.2999999999999998</v>
      </c>
      <c r="M290" s="30">
        <v>239</v>
      </c>
      <c r="N290" s="30">
        <v>-1.4</v>
      </c>
      <c r="O290" s="30">
        <v>85</v>
      </c>
      <c r="P290" s="30">
        <v>85</v>
      </c>
      <c r="Q290" s="30">
        <v>176</v>
      </c>
      <c r="R290" s="30" t="s">
        <v>150</v>
      </c>
      <c r="S290" s="30">
        <v>6.6</v>
      </c>
      <c r="T290" s="30">
        <v>4.5999999999999996</v>
      </c>
      <c r="U290" s="34">
        <v>0</v>
      </c>
      <c r="Y290" s="31" t="s">
        <v>424</v>
      </c>
      <c r="Z290" s="30">
        <v>-8.6999999999999993</v>
      </c>
      <c r="AA290" s="30">
        <v>-8.6999999999999993</v>
      </c>
      <c r="AB290" s="30">
        <v>-4.3</v>
      </c>
      <c r="AC290" s="30">
        <v>3.3</v>
      </c>
      <c r="AD290" s="30">
        <v>10.4</v>
      </c>
      <c r="AE290" s="30">
        <v>15.2</v>
      </c>
      <c r="AF290" s="30">
        <v>17.3</v>
      </c>
      <c r="AG290" s="30">
        <v>15.4</v>
      </c>
      <c r="AH290" s="30">
        <v>10.3</v>
      </c>
      <c r="AI290" s="30">
        <v>4.2</v>
      </c>
      <c r="AJ290" s="30">
        <v>-0.9</v>
      </c>
      <c r="AK290" s="30">
        <v>-5.9</v>
      </c>
      <c r="AL290" s="30">
        <v>4</v>
      </c>
    </row>
    <row r="291" spans="1:38" ht="25.5" x14ac:dyDescent="0.25">
      <c r="A291" s="33" t="s">
        <v>423</v>
      </c>
      <c r="B291" s="70"/>
      <c r="C291" s="70"/>
      <c r="D291" s="70"/>
      <c r="E291" s="70"/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  <c r="S291" s="70"/>
      <c r="T291" s="70"/>
      <c r="U291" s="34"/>
      <c r="Y291" s="33" t="s">
        <v>423</v>
      </c>
      <c r="Z291" s="70"/>
      <c r="AA291" s="70"/>
      <c r="AB291" s="70"/>
      <c r="AC291" s="70"/>
      <c r="AD291" s="70"/>
      <c r="AE291" s="70"/>
      <c r="AF291" s="70"/>
      <c r="AG291" s="70"/>
      <c r="AH291" s="70"/>
      <c r="AI291" s="70"/>
      <c r="AJ291" s="70"/>
      <c r="AK291" s="70"/>
      <c r="AL291" s="70"/>
    </row>
    <row r="292" spans="1:38" x14ac:dyDescent="0.25">
      <c r="A292" s="31" t="s">
        <v>863</v>
      </c>
      <c r="B292" s="30">
        <v>-44</v>
      </c>
      <c r="C292" s="30">
        <v>-42</v>
      </c>
      <c r="D292" s="30">
        <v>-42</v>
      </c>
      <c r="E292" s="30">
        <v>-39</v>
      </c>
      <c r="F292" s="30">
        <v>-25</v>
      </c>
      <c r="G292" s="30">
        <v>-48</v>
      </c>
      <c r="H292" s="30">
        <v>9.1999999999999993</v>
      </c>
      <c r="I292" s="30">
        <v>177</v>
      </c>
      <c r="J292" s="30">
        <v>-12.9</v>
      </c>
      <c r="K292" s="30">
        <v>230</v>
      </c>
      <c r="L292" s="30">
        <v>-9</v>
      </c>
      <c r="M292" s="30">
        <v>243</v>
      </c>
      <c r="N292" s="30">
        <v>-8</v>
      </c>
      <c r="O292" s="30">
        <v>82</v>
      </c>
      <c r="P292" s="30">
        <v>81</v>
      </c>
      <c r="Q292" s="30">
        <v>104</v>
      </c>
      <c r="R292" s="30" t="s">
        <v>155</v>
      </c>
      <c r="S292" s="30">
        <v>6.5</v>
      </c>
      <c r="T292" s="30">
        <v>6.3</v>
      </c>
      <c r="U292" s="34">
        <v>2</v>
      </c>
      <c r="Y292" s="31" t="s">
        <v>422</v>
      </c>
      <c r="Z292" s="30">
        <v>-18.3</v>
      </c>
      <c r="AA292" s="30">
        <v>-17</v>
      </c>
      <c r="AB292" s="30">
        <v>-9.1999999999999993</v>
      </c>
      <c r="AC292" s="30">
        <v>2.1</v>
      </c>
      <c r="AD292" s="30">
        <v>11</v>
      </c>
      <c r="AE292" s="30">
        <v>17</v>
      </c>
      <c r="AF292" s="30">
        <v>19.2</v>
      </c>
      <c r="AG292" s="30">
        <v>15.8</v>
      </c>
      <c r="AH292" s="30">
        <v>9.8000000000000007</v>
      </c>
      <c r="AI292" s="30">
        <v>2</v>
      </c>
      <c r="AJ292" s="30">
        <v>-8.3000000000000007</v>
      </c>
      <c r="AK292" s="30">
        <v>-15.3</v>
      </c>
      <c r="AL292" s="30">
        <v>0.7</v>
      </c>
    </row>
    <row r="293" spans="1:38" x14ac:dyDescent="0.25">
      <c r="A293" s="31" t="s">
        <v>864</v>
      </c>
      <c r="B293" s="30">
        <v>-42</v>
      </c>
      <c r="C293" s="30">
        <v>-42</v>
      </c>
      <c r="D293" s="30">
        <v>-40</v>
      </c>
      <c r="E293" s="30">
        <v>-39</v>
      </c>
      <c r="F293" s="30">
        <v>-22</v>
      </c>
      <c r="G293" s="30">
        <v>-51</v>
      </c>
      <c r="H293" s="30">
        <v>8.1</v>
      </c>
      <c r="I293" s="30">
        <v>173</v>
      </c>
      <c r="J293" s="30">
        <v>-11.7</v>
      </c>
      <c r="K293" s="30">
        <v>228</v>
      </c>
      <c r="L293" s="30">
        <v>-7.9</v>
      </c>
      <c r="M293" s="30">
        <v>246</v>
      </c>
      <c r="N293" s="30">
        <v>-6.6</v>
      </c>
      <c r="O293" s="30">
        <v>80</v>
      </c>
      <c r="P293" s="30">
        <v>77</v>
      </c>
      <c r="Q293" s="30">
        <v>123</v>
      </c>
      <c r="R293" s="30" t="s">
        <v>155</v>
      </c>
      <c r="S293" s="30">
        <v>3.9</v>
      </c>
      <c r="T293" s="30">
        <v>2.9</v>
      </c>
      <c r="U293" s="34">
        <v>2</v>
      </c>
      <c r="Y293" s="31" t="s">
        <v>421</v>
      </c>
      <c r="Z293" s="30">
        <v>-17.600000000000001</v>
      </c>
      <c r="AA293" s="30">
        <v>-15.5</v>
      </c>
      <c r="AB293" s="30">
        <v>-7.5</v>
      </c>
      <c r="AC293" s="30">
        <v>1.7</v>
      </c>
      <c r="AD293" s="30">
        <v>10.3</v>
      </c>
      <c r="AE293" s="30">
        <v>16.3</v>
      </c>
      <c r="AF293" s="30">
        <v>18.899999999999999</v>
      </c>
      <c r="AG293" s="30">
        <v>15.5</v>
      </c>
      <c r="AH293" s="30">
        <v>9.3000000000000007</v>
      </c>
      <c r="AI293" s="30">
        <v>1.7</v>
      </c>
      <c r="AJ293" s="30">
        <v>-8</v>
      </c>
      <c r="AK293" s="30">
        <v>-15</v>
      </c>
      <c r="AL293" s="30">
        <v>0.8</v>
      </c>
    </row>
    <row r="294" spans="1:38" x14ac:dyDescent="0.25">
      <c r="A294" s="31" t="s">
        <v>420</v>
      </c>
      <c r="B294" s="30">
        <v>-42</v>
      </c>
      <c r="C294" s="30">
        <v>-41</v>
      </c>
      <c r="D294" s="30">
        <v>-40</v>
      </c>
      <c r="E294" s="30">
        <v>-37</v>
      </c>
      <c r="F294" s="30">
        <v>-24</v>
      </c>
      <c r="G294" s="30">
        <v>-46</v>
      </c>
      <c r="H294" s="30">
        <v>9.5</v>
      </c>
      <c r="I294" s="30">
        <v>169</v>
      </c>
      <c r="J294" s="30">
        <v>-12.7</v>
      </c>
      <c r="K294" s="30">
        <v>218</v>
      </c>
      <c r="L294" s="30">
        <v>-8.9</v>
      </c>
      <c r="M294" s="30">
        <v>232</v>
      </c>
      <c r="N294" s="30">
        <v>-7.8</v>
      </c>
      <c r="O294" s="30">
        <v>80</v>
      </c>
      <c r="P294" s="30">
        <v>79</v>
      </c>
      <c r="Q294" s="30">
        <v>68</v>
      </c>
      <c r="R294" s="30" t="s">
        <v>155</v>
      </c>
      <c r="S294" s="30" t="s">
        <v>41</v>
      </c>
      <c r="T294" s="30" t="s">
        <v>41</v>
      </c>
      <c r="U294" s="34">
        <v>2</v>
      </c>
      <c r="Y294" s="31" t="s">
        <v>420</v>
      </c>
      <c r="Z294" s="30">
        <v>-19.399999999999999</v>
      </c>
      <c r="AA294" s="30">
        <v>-18.399999999999999</v>
      </c>
      <c r="AB294" s="30">
        <v>-10.6</v>
      </c>
      <c r="AC294" s="30">
        <v>2.9</v>
      </c>
      <c r="AD294" s="30">
        <v>12.1</v>
      </c>
      <c r="AE294" s="30">
        <v>18.2</v>
      </c>
      <c r="AF294" s="30">
        <v>20.2</v>
      </c>
      <c r="AG294" s="30">
        <v>16.899999999999999</v>
      </c>
      <c r="AH294" s="30">
        <v>11.2</v>
      </c>
      <c r="AI294" s="30">
        <v>2.2000000000000002</v>
      </c>
      <c r="AJ294" s="30">
        <v>-8.5</v>
      </c>
      <c r="AK294" s="30">
        <v>-16.2</v>
      </c>
      <c r="AL294" s="30">
        <v>0.9</v>
      </c>
    </row>
    <row r="295" spans="1:38" x14ac:dyDescent="0.25">
      <c r="A295" s="31" t="s">
        <v>419</v>
      </c>
      <c r="B295" s="30">
        <v>-45</v>
      </c>
      <c r="C295" s="30">
        <v>-42</v>
      </c>
      <c r="D295" s="30">
        <v>-43</v>
      </c>
      <c r="E295" s="30">
        <v>-39</v>
      </c>
      <c r="F295" s="30">
        <v>-25</v>
      </c>
      <c r="G295" s="30">
        <v>-50</v>
      </c>
      <c r="H295" s="30">
        <v>9.3000000000000007</v>
      </c>
      <c r="I295" s="30">
        <v>175</v>
      </c>
      <c r="J295" s="30">
        <v>-12.9</v>
      </c>
      <c r="K295" s="30">
        <v>228</v>
      </c>
      <c r="L295" s="30">
        <v>-8.9</v>
      </c>
      <c r="M295" s="30">
        <v>242</v>
      </c>
      <c r="N295" s="30">
        <v>-7.9</v>
      </c>
      <c r="O295" s="30">
        <v>81</v>
      </c>
      <c r="P295" s="30">
        <v>80</v>
      </c>
      <c r="Q295" s="30">
        <v>90</v>
      </c>
      <c r="R295" s="30" t="s">
        <v>155</v>
      </c>
      <c r="S295" s="30" t="s">
        <v>41</v>
      </c>
      <c r="T295" s="30" t="s">
        <v>41</v>
      </c>
      <c r="U295" s="34">
        <v>2</v>
      </c>
      <c r="Y295" s="31" t="s">
        <v>419</v>
      </c>
      <c r="Z295" s="30">
        <v>-19.600000000000001</v>
      </c>
      <c r="AA295" s="30">
        <v>-18.2</v>
      </c>
      <c r="AB295" s="30">
        <v>-11.5</v>
      </c>
      <c r="AC295" s="30">
        <v>1.2</v>
      </c>
      <c r="AD295" s="30">
        <v>10.7</v>
      </c>
      <c r="AE295" s="30">
        <v>16.7</v>
      </c>
      <c r="AF295" s="30">
        <v>18.600000000000001</v>
      </c>
      <c r="AG295" s="30">
        <v>15.4</v>
      </c>
      <c r="AH295" s="30">
        <v>9.6999999999999993</v>
      </c>
      <c r="AI295" s="30">
        <v>1.4</v>
      </c>
      <c r="AJ295" s="30">
        <v>-9.5</v>
      </c>
      <c r="AK295" s="30">
        <v>-16.899999999999999</v>
      </c>
      <c r="AL295" s="30">
        <v>-0.2</v>
      </c>
    </row>
    <row r="296" spans="1:38" x14ac:dyDescent="0.25">
      <c r="A296" s="31" t="s">
        <v>865</v>
      </c>
      <c r="B296" s="30">
        <v>-42</v>
      </c>
      <c r="C296" s="30">
        <v>-41</v>
      </c>
      <c r="D296" s="30">
        <v>-40</v>
      </c>
      <c r="E296" s="30">
        <v>-38</v>
      </c>
      <c r="F296" s="30">
        <v>-23</v>
      </c>
      <c r="G296" s="30">
        <v>-47</v>
      </c>
      <c r="H296" s="30">
        <v>8.6999999999999993</v>
      </c>
      <c r="I296" s="30">
        <v>167</v>
      </c>
      <c r="J296" s="30">
        <v>-12.6</v>
      </c>
      <c r="K296" s="30">
        <v>215</v>
      </c>
      <c r="L296" s="30">
        <v>-8.9</v>
      </c>
      <c r="M296" s="30">
        <v>232</v>
      </c>
      <c r="N296" s="30">
        <v>-7.6</v>
      </c>
      <c r="O296" s="30">
        <v>80</v>
      </c>
      <c r="P296" s="30">
        <v>79</v>
      </c>
      <c r="Q296" s="30">
        <v>65</v>
      </c>
      <c r="R296" s="30" t="s">
        <v>150</v>
      </c>
      <c r="S296" s="30">
        <v>5.7</v>
      </c>
      <c r="T296" s="30">
        <v>4.7</v>
      </c>
      <c r="U296" s="34">
        <v>2</v>
      </c>
      <c r="Y296" s="31" t="s">
        <v>418</v>
      </c>
      <c r="Z296" s="30">
        <v>-18.5</v>
      </c>
      <c r="AA296" s="30">
        <v>-16.899999999999999</v>
      </c>
      <c r="AB296" s="30">
        <v>-9.1</v>
      </c>
      <c r="AC296" s="30">
        <v>3.2</v>
      </c>
      <c r="AD296" s="30">
        <v>12</v>
      </c>
      <c r="AE296" s="30">
        <v>17.899999999999999</v>
      </c>
      <c r="AF296" s="30">
        <v>19.899999999999999</v>
      </c>
      <c r="AG296" s="30">
        <v>16.7</v>
      </c>
      <c r="AH296" s="30">
        <v>10.7</v>
      </c>
      <c r="AI296" s="30">
        <v>2.8</v>
      </c>
      <c r="AJ296" s="30">
        <v>-7.4</v>
      </c>
      <c r="AK296" s="30">
        <v>-15</v>
      </c>
      <c r="AL296" s="30">
        <v>1.3</v>
      </c>
    </row>
    <row r="297" spans="1:38" x14ac:dyDescent="0.25">
      <c r="A297" s="31" t="s">
        <v>417</v>
      </c>
      <c r="B297" s="30">
        <v>-46</v>
      </c>
      <c r="C297" s="30">
        <v>-43</v>
      </c>
      <c r="D297" s="30">
        <v>-42</v>
      </c>
      <c r="E297" s="30">
        <v>-40</v>
      </c>
      <c r="F297" s="30">
        <v>-25</v>
      </c>
      <c r="G297" s="30">
        <v>-52</v>
      </c>
      <c r="H297" s="30">
        <v>9.9</v>
      </c>
      <c r="I297" s="30">
        <v>176</v>
      </c>
      <c r="J297" s="30">
        <v>-12.9</v>
      </c>
      <c r="K297" s="30">
        <v>231</v>
      </c>
      <c r="L297" s="30">
        <v>-8.9</v>
      </c>
      <c r="M297" s="30">
        <v>248</v>
      </c>
      <c r="N297" s="30">
        <v>7.7</v>
      </c>
      <c r="O297" s="30">
        <v>80</v>
      </c>
      <c r="P297" s="30">
        <v>78</v>
      </c>
      <c r="Q297" s="30">
        <v>87</v>
      </c>
      <c r="R297" s="30" t="s">
        <v>155</v>
      </c>
      <c r="S297" s="30" t="s">
        <v>41</v>
      </c>
      <c r="T297" s="30" t="s">
        <v>41</v>
      </c>
      <c r="U297" s="34">
        <v>2</v>
      </c>
      <c r="Y297" s="31" t="s">
        <v>417</v>
      </c>
      <c r="Z297" s="30">
        <v>-20.3</v>
      </c>
      <c r="AA297" s="30">
        <v>-18.3</v>
      </c>
      <c r="AB297" s="30">
        <v>-10.7</v>
      </c>
      <c r="AC297" s="30">
        <v>1.3</v>
      </c>
      <c r="AD297" s="30">
        <v>9.8000000000000007</v>
      </c>
      <c r="AE297" s="30">
        <v>15.7</v>
      </c>
      <c r="AF297" s="30">
        <v>18</v>
      </c>
      <c r="AG297" s="30">
        <v>14.6</v>
      </c>
      <c r="AH297" s="30">
        <v>9.3000000000000007</v>
      </c>
      <c r="AI297" s="30">
        <v>0.8</v>
      </c>
      <c r="AJ297" s="30">
        <v>-9.8000000000000007</v>
      </c>
      <c r="AK297" s="30">
        <v>-17.399999999999999</v>
      </c>
      <c r="AL297" s="30">
        <v>-0.6</v>
      </c>
    </row>
    <row r="298" spans="1:38" x14ac:dyDescent="0.25">
      <c r="A298" s="31" t="s">
        <v>866</v>
      </c>
      <c r="B298" s="30">
        <v>-43</v>
      </c>
      <c r="C298" s="30">
        <v>-41</v>
      </c>
      <c r="D298" s="30">
        <v>-41</v>
      </c>
      <c r="E298" s="30">
        <v>-37</v>
      </c>
      <c r="F298" s="30">
        <v>-22</v>
      </c>
      <c r="G298" s="30">
        <v>-50</v>
      </c>
      <c r="H298" s="30">
        <v>9</v>
      </c>
      <c r="I298" s="30">
        <v>169</v>
      </c>
      <c r="J298" s="30">
        <v>-11.8</v>
      </c>
      <c r="K298" s="30">
        <v>221</v>
      </c>
      <c r="L298" s="30">
        <v>-8.1</v>
      </c>
      <c r="M298" s="30">
        <v>238</v>
      </c>
      <c r="N298" s="30">
        <v>-6.9</v>
      </c>
      <c r="O298" s="30">
        <v>79</v>
      </c>
      <c r="P298" s="30">
        <v>76</v>
      </c>
      <c r="Q298" s="30">
        <v>104</v>
      </c>
      <c r="R298" s="30" t="s">
        <v>150</v>
      </c>
      <c r="S298" s="30">
        <v>4.7</v>
      </c>
      <c r="T298" s="30">
        <v>3.7</v>
      </c>
      <c r="U298" s="34">
        <v>2</v>
      </c>
      <c r="Y298" s="31" t="s">
        <v>416</v>
      </c>
      <c r="Z298" s="30">
        <v>-17.3</v>
      </c>
      <c r="AA298" s="30">
        <v>-15.7</v>
      </c>
      <c r="AB298" s="30">
        <v>-8.4</v>
      </c>
      <c r="AC298" s="30">
        <v>2.2000000000000002</v>
      </c>
      <c r="AD298" s="30">
        <v>11.1</v>
      </c>
      <c r="AE298" s="30">
        <v>17</v>
      </c>
      <c r="AF298" s="30">
        <v>19.399999999999999</v>
      </c>
      <c r="AG298" s="30">
        <v>16.2</v>
      </c>
      <c r="AH298" s="30">
        <v>10.199999999999999</v>
      </c>
      <c r="AI298" s="30">
        <v>2.5</v>
      </c>
      <c r="AJ298" s="30">
        <v>-7.4</v>
      </c>
      <c r="AK298" s="30">
        <v>-14.5</v>
      </c>
      <c r="AL298" s="30">
        <v>1.3</v>
      </c>
    </row>
    <row r="299" spans="1:38" x14ac:dyDescent="0.25">
      <c r="A299" s="31" t="s">
        <v>867</v>
      </c>
      <c r="B299" s="30">
        <v>-43</v>
      </c>
      <c r="C299" s="30">
        <v>-41</v>
      </c>
      <c r="D299" s="30">
        <v>-40</v>
      </c>
      <c r="E299" s="30">
        <v>-38</v>
      </c>
      <c r="F299" s="30">
        <v>-23</v>
      </c>
      <c r="G299" s="30">
        <v>-50</v>
      </c>
      <c r="H299" s="30">
        <v>8.6999999999999993</v>
      </c>
      <c r="I299" s="30">
        <v>168</v>
      </c>
      <c r="J299" s="30">
        <v>-12.2</v>
      </c>
      <c r="K299" s="30">
        <v>220</v>
      </c>
      <c r="L299" s="30">
        <v>-8.3000000000000007</v>
      </c>
      <c r="M299" s="30">
        <v>236</v>
      </c>
      <c r="N299" s="30">
        <v>-7.1</v>
      </c>
      <c r="O299" s="30">
        <v>81</v>
      </c>
      <c r="P299" s="30">
        <v>80</v>
      </c>
      <c r="Q299" s="30">
        <v>88</v>
      </c>
      <c r="R299" s="30" t="s">
        <v>155</v>
      </c>
      <c r="S299" s="30">
        <v>3.7</v>
      </c>
      <c r="T299" s="30">
        <v>3.4</v>
      </c>
      <c r="U299" s="34">
        <v>2</v>
      </c>
      <c r="Y299" s="31" t="s">
        <v>415</v>
      </c>
      <c r="Z299" s="30">
        <v>-17.8</v>
      </c>
      <c r="AA299" s="30">
        <v>-16.5</v>
      </c>
      <c r="AB299" s="30">
        <v>-8.3000000000000007</v>
      </c>
      <c r="AC299" s="30">
        <v>3.1</v>
      </c>
      <c r="AD299" s="30">
        <v>11.6</v>
      </c>
      <c r="AE299" s="30">
        <v>17.3</v>
      </c>
      <c r="AF299" s="30">
        <v>19.5</v>
      </c>
      <c r="AG299" s="30">
        <v>16.100000000000001</v>
      </c>
      <c r="AH299" s="30">
        <v>10.1</v>
      </c>
      <c r="AI299" s="30">
        <v>2.4</v>
      </c>
      <c r="AJ299" s="30">
        <v>-7.7</v>
      </c>
      <c r="AK299" s="30">
        <v>-14.9</v>
      </c>
      <c r="AL299" s="30">
        <v>1.3</v>
      </c>
    </row>
    <row r="300" spans="1:38" x14ac:dyDescent="0.25">
      <c r="A300" s="31" t="s">
        <v>414</v>
      </c>
      <c r="B300" s="30">
        <v>-44</v>
      </c>
      <c r="C300" s="30">
        <v>-42</v>
      </c>
      <c r="D300" s="30">
        <v>-42</v>
      </c>
      <c r="E300" s="30">
        <v>-39</v>
      </c>
      <c r="F300" s="30">
        <v>-25</v>
      </c>
      <c r="G300" s="30">
        <v>-52</v>
      </c>
      <c r="H300" s="30">
        <v>9.1999999999999993</v>
      </c>
      <c r="I300" s="30">
        <v>177</v>
      </c>
      <c r="J300" s="30">
        <v>-12.7</v>
      </c>
      <c r="K300" s="30">
        <v>230</v>
      </c>
      <c r="L300" s="30">
        <v>-8.8000000000000007</v>
      </c>
      <c r="M300" s="30">
        <v>244</v>
      </c>
      <c r="N300" s="30">
        <v>-7.8</v>
      </c>
      <c r="O300" s="30">
        <v>80</v>
      </c>
      <c r="P300" s="30">
        <v>79</v>
      </c>
      <c r="Q300" s="30">
        <v>111</v>
      </c>
      <c r="R300" s="30" t="s">
        <v>155</v>
      </c>
      <c r="S300" s="30">
        <v>6.2</v>
      </c>
      <c r="T300" s="30" t="s">
        <v>41</v>
      </c>
      <c r="U300" s="34">
        <v>2</v>
      </c>
      <c r="Y300" s="31" t="s">
        <v>414</v>
      </c>
      <c r="Z300" s="30">
        <v>-19.5</v>
      </c>
      <c r="AA300" s="30">
        <v>-17.899999999999999</v>
      </c>
      <c r="AB300" s="30">
        <v>-11.3</v>
      </c>
      <c r="AC300" s="30">
        <v>0.3</v>
      </c>
      <c r="AD300" s="30">
        <v>10.1</v>
      </c>
      <c r="AE300" s="30">
        <v>16.399999999999999</v>
      </c>
      <c r="AF300" s="30">
        <v>18.5</v>
      </c>
      <c r="AG300" s="30">
        <v>15.5</v>
      </c>
      <c r="AH300" s="30">
        <v>9.6999999999999993</v>
      </c>
      <c r="AI300" s="30">
        <v>1.3</v>
      </c>
      <c r="AJ300" s="30">
        <v>-9.3000000000000007</v>
      </c>
      <c r="AK300" s="30">
        <v>-17</v>
      </c>
      <c r="AL300" s="30">
        <v>-0.2</v>
      </c>
    </row>
    <row r="301" spans="1:38" x14ac:dyDescent="0.25">
      <c r="A301" s="33" t="s">
        <v>413</v>
      </c>
      <c r="B301" s="70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  <c r="S301" s="70"/>
      <c r="T301" s="70"/>
      <c r="U301" s="34"/>
      <c r="Y301" s="33" t="s">
        <v>413</v>
      </c>
      <c r="Z301" s="70"/>
      <c r="AA301" s="70"/>
      <c r="AB301" s="70"/>
      <c r="AC301" s="70"/>
      <c r="AD301" s="70"/>
      <c r="AE301" s="70"/>
      <c r="AF301" s="70"/>
      <c r="AG301" s="70"/>
      <c r="AH301" s="70"/>
      <c r="AI301" s="70"/>
      <c r="AJ301" s="70"/>
      <c r="AK301" s="70"/>
      <c r="AL301" s="70"/>
    </row>
    <row r="302" spans="1:38" x14ac:dyDescent="0.25">
      <c r="A302" s="31" t="s">
        <v>412</v>
      </c>
      <c r="B302" s="30">
        <v>-43</v>
      </c>
      <c r="C302" s="30">
        <v>-40</v>
      </c>
      <c r="D302" s="30">
        <v>-39</v>
      </c>
      <c r="E302" s="30">
        <v>-36</v>
      </c>
      <c r="F302" s="30">
        <v>-24</v>
      </c>
      <c r="G302" s="30">
        <v>-46</v>
      </c>
      <c r="H302" s="30">
        <v>9.4</v>
      </c>
      <c r="I302" s="30">
        <v>174</v>
      </c>
      <c r="J302" s="30">
        <v>-12.3</v>
      </c>
      <c r="K302" s="30">
        <v>225</v>
      </c>
      <c r="L302" s="30">
        <v>-8.6</v>
      </c>
      <c r="M302" s="30">
        <v>238</v>
      </c>
      <c r="N302" s="30">
        <v>-7.7</v>
      </c>
      <c r="O302" s="30">
        <v>82</v>
      </c>
      <c r="P302" s="30">
        <v>80</v>
      </c>
      <c r="Q302" s="30">
        <v>78</v>
      </c>
      <c r="R302" s="30" t="s">
        <v>155</v>
      </c>
      <c r="S302" s="30">
        <v>5.2</v>
      </c>
      <c r="T302" s="30" t="s">
        <v>41</v>
      </c>
      <c r="U302" s="34">
        <v>2</v>
      </c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</row>
    <row r="303" spans="1:38" x14ac:dyDescent="0.25">
      <c r="A303" s="31" t="s">
        <v>868</v>
      </c>
      <c r="B303" s="30">
        <v>-42</v>
      </c>
      <c r="C303" s="30">
        <v>-40</v>
      </c>
      <c r="D303" s="30">
        <v>-38</v>
      </c>
      <c r="E303" s="30">
        <v>-37</v>
      </c>
      <c r="F303" s="30">
        <v>-22</v>
      </c>
      <c r="G303" s="30">
        <v>-49</v>
      </c>
      <c r="H303" s="30">
        <v>8.6</v>
      </c>
      <c r="I303" s="30">
        <v>165</v>
      </c>
      <c r="J303" s="30">
        <v>-11.9</v>
      </c>
      <c r="K303" s="30">
        <v>216</v>
      </c>
      <c r="L303" s="30">
        <v>-8.1</v>
      </c>
      <c r="M303" s="30">
        <v>232</v>
      </c>
      <c r="N303" s="30">
        <v>-6.9</v>
      </c>
      <c r="O303" s="30">
        <v>80</v>
      </c>
      <c r="P303" s="30">
        <v>78</v>
      </c>
      <c r="Q303" s="30">
        <v>104</v>
      </c>
      <c r="R303" s="30" t="s">
        <v>155</v>
      </c>
      <c r="S303" s="30">
        <v>2.8</v>
      </c>
      <c r="T303" s="30">
        <v>2.8</v>
      </c>
      <c r="U303" s="34">
        <v>2</v>
      </c>
      <c r="Y303" s="31" t="s">
        <v>411</v>
      </c>
      <c r="Z303" s="30">
        <v>-17.2</v>
      </c>
      <c r="AA303" s="30">
        <v>-15.9</v>
      </c>
      <c r="AB303" s="30">
        <v>-7.8</v>
      </c>
      <c r="AC303" s="30">
        <v>3.7</v>
      </c>
      <c r="AD303" s="30">
        <v>12.1</v>
      </c>
      <c r="AE303" s="30">
        <v>17.7</v>
      </c>
      <c r="AF303" s="30">
        <v>19.5</v>
      </c>
      <c r="AG303" s="30">
        <v>16.3</v>
      </c>
      <c r="AH303" s="30">
        <v>10.5</v>
      </c>
      <c r="AI303" s="30">
        <v>2.8</v>
      </c>
      <c r="AJ303" s="30">
        <v>-7.3</v>
      </c>
      <c r="AK303" s="30">
        <v>-14.3</v>
      </c>
      <c r="AL303" s="30">
        <v>1.7</v>
      </c>
    </row>
    <row r="304" spans="1:38" x14ac:dyDescent="0.25">
      <c r="A304" s="31" t="s">
        <v>869</v>
      </c>
      <c r="B304" s="30">
        <v>-46</v>
      </c>
      <c r="C304" s="30">
        <v>-43</v>
      </c>
      <c r="D304" s="30">
        <v>-41</v>
      </c>
      <c r="E304" s="30">
        <v>-38</v>
      </c>
      <c r="F304" s="30">
        <v>-23</v>
      </c>
      <c r="G304" s="30">
        <v>-50</v>
      </c>
      <c r="H304" s="30">
        <v>9.3000000000000007</v>
      </c>
      <c r="I304" s="30">
        <v>171</v>
      </c>
      <c r="J304" s="30">
        <v>-12.4</v>
      </c>
      <c r="K304" s="30">
        <v>229</v>
      </c>
      <c r="L304" s="30">
        <v>-8.1999999999999993</v>
      </c>
      <c r="M304" s="30">
        <v>245</v>
      </c>
      <c r="N304" s="30">
        <v>-7</v>
      </c>
      <c r="O304" s="30">
        <v>78</v>
      </c>
      <c r="P304" s="30">
        <v>78</v>
      </c>
      <c r="Q304" s="30">
        <v>97</v>
      </c>
      <c r="R304" s="30" t="s">
        <v>150</v>
      </c>
      <c r="S304" s="30">
        <v>3</v>
      </c>
      <c r="T304" s="30">
        <v>3</v>
      </c>
      <c r="U304" s="34">
        <v>2</v>
      </c>
      <c r="Y304" s="31" t="s">
        <v>410</v>
      </c>
      <c r="Z304" s="30">
        <v>-18.3</v>
      </c>
      <c r="AA304" s="30">
        <v>-16.8</v>
      </c>
      <c r="AB304" s="30">
        <v>-8</v>
      </c>
      <c r="AC304" s="30">
        <v>2.2000000000000002</v>
      </c>
      <c r="AD304" s="30">
        <v>10.4</v>
      </c>
      <c r="AE304" s="30">
        <v>16.399999999999999</v>
      </c>
      <c r="AF304" s="30">
        <v>18.7</v>
      </c>
      <c r="AG304" s="30">
        <v>15.2</v>
      </c>
      <c r="AH304" s="30">
        <v>9.1999999999999993</v>
      </c>
      <c r="AI304" s="30">
        <v>1.7</v>
      </c>
      <c r="AJ304" s="30">
        <v>-8.3000000000000007</v>
      </c>
      <c r="AK304" s="30">
        <v>-15.5</v>
      </c>
      <c r="AL304" s="30">
        <v>0.6</v>
      </c>
    </row>
    <row r="305" spans="1:38" x14ac:dyDescent="0.25">
      <c r="A305" s="31" t="s">
        <v>870</v>
      </c>
      <c r="B305" s="30">
        <v>-41</v>
      </c>
      <c r="C305" s="30">
        <v>-40</v>
      </c>
      <c r="D305" s="30">
        <v>-39</v>
      </c>
      <c r="E305" s="30">
        <v>-37</v>
      </c>
      <c r="F305" s="30">
        <v>-22</v>
      </c>
      <c r="G305" s="30">
        <v>-44</v>
      </c>
      <c r="H305" s="30">
        <v>8.4</v>
      </c>
      <c r="I305" s="30">
        <v>164</v>
      </c>
      <c r="J305" s="30">
        <v>-12.3</v>
      </c>
      <c r="K305" s="30">
        <v>211</v>
      </c>
      <c r="L305" s="30">
        <v>-8.6999999999999993</v>
      </c>
      <c r="M305" s="30">
        <v>227</v>
      </c>
      <c r="N305" s="30">
        <v>-7.4</v>
      </c>
      <c r="O305" s="30">
        <v>82</v>
      </c>
      <c r="P305" s="30">
        <v>81</v>
      </c>
      <c r="Q305" s="30">
        <v>98</v>
      </c>
      <c r="R305" s="30" t="s">
        <v>155</v>
      </c>
      <c r="S305" s="30">
        <v>3.4</v>
      </c>
      <c r="T305" s="30">
        <v>3.1</v>
      </c>
      <c r="U305" s="34">
        <v>2</v>
      </c>
      <c r="Y305" s="31" t="s">
        <v>409</v>
      </c>
      <c r="Z305" s="30">
        <v>-17.7</v>
      </c>
      <c r="AA305" s="30">
        <v>-16.600000000000001</v>
      </c>
      <c r="AB305" s="30">
        <v>-8.6</v>
      </c>
      <c r="AC305" s="30">
        <v>4</v>
      </c>
      <c r="AD305" s="30">
        <v>12.7</v>
      </c>
      <c r="AE305" s="30">
        <v>18.5</v>
      </c>
      <c r="AF305" s="30">
        <v>20.2</v>
      </c>
      <c r="AG305" s="30">
        <v>17.100000000000001</v>
      </c>
      <c r="AH305" s="30">
        <v>11.1</v>
      </c>
      <c r="AI305" s="30">
        <v>3.1</v>
      </c>
      <c r="AJ305" s="30">
        <v>-7.2</v>
      </c>
      <c r="AK305" s="30">
        <v>-14.3</v>
      </c>
      <c r="AL305" s="30">
        <v>1.9</v>
      </c>
    </row>
    <row r="306" spans="1:38" ht="25.5" x14ac:dyDescent="0.25">
      <c r="A306" s="33" t="s">
        <v>408</v>
      </c>
      <c r="B306" s="70"/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/>
      <c r="S306" s="70"/>
      <c r="T306" s="70"/>
      <c r="U306" s="34"/>
      <c r="Y306" s="33" t="s">
        <v>408</v>
      </c>
      <c r="Z306" s="70"/>
      <c r="AA306" s="70"/>
      <c r="AB306" s="70"/>
      <c r="AC306" s="70"/>
      <c r="AD306" s="70"/>
      <c r="AE306" s="70"/>
      <c r="AF306" s="70"/>
      <c r="AG306" s="70"/>
      <c r="AH306" s="70"/>
      <c r="AI306" s="70"/>
      <c r="AJ306" s="70"/>
      <c r="AK306" s="70"/>
      <c r="AL306" s="70"/>
    </row>
    <row r="307" spans="1:38" x14ac:dyDescent="0.25">
      <c r="A307" s="31" t="s">
        <v>407</v>
      </c>
      <c r="B307" s="30">
        <v>-41</v>
      </c>
      <c r="C307" s="30">
        <v>-38</v>
      </c>
      <c r="D307" s="30">
        <v>-34</v>
      </c>
      <c r="E307" s="30">
        <v>-30</v>
      </c>
      <c r="F307" s="30">
        <v>-20</v>
      </c>
      <c r="G307" s="30">
        <v>-44</v>
      </c>
      <c r="H307" s="30">
        <v>8.1</v>
      </c>
      <c r="I307" s="30">
        <v>153</v>
      </c>
      <c r="J307" s="30">
        <v>-10.6</v>
      </c>
      <c r="K307" s="30">
        <v>204</v>
      </c>
      <c r="L307" s="30">
        <v>-6.9</v>
      </c>
      <c r="M307" s="30">
        <v>217</v>
      </c>
      <c r="N307" s="30">
        <v>-6</v>
      </c>
      <c r="O307" s="30">
        <v>76</v>
      </c>
      <c r="P307" s="30">
        <v>74</v>
      </c>
      <c r="Q307" s="30">
        <v>169</v>
      </c>
      <c r="R307" s="30" t="s">
        <v>142</v>
      </c>
      <c r="S307" s="30">
        <v>5.7</v>
      </c>
      <c r="T307" s="30">
        <v>4.0999999999999996</v>
      </c>
      <c r="U307" s="34">
        <v>1</v>
      </c>
      <c r="Y307" s="31" t="s">
        <v>407</v>
      </c>
      <c r="Z307" s="30">
        <v>-15.4</v>
      </c>
      <c r="AA307" s="30">
        <v>-14.5</v>
      </c>
      <c r="AB307" s="30">
        <v>-7.3</v>
      </c>
      <c r="AC307" s="30">
        <v>4.9000000000000004</v>
      </c>
      <c r="AD307" s="30">
        <v>14.2</v>
      </c>
      <c r="AE307" s="30">
        <v>18.600000000000001</v>
      </c>
      <c r="AF307" s="30">
        <v>20.6</v>
      </c>
      <c r="AG307" s="30">
        <v>18.8</v>
      </c>
      <c r="AH307" s="30">
        <v>12.7</v>
      </c>
      <c r="AI307" s="30">
        <v>3.9</v>
      </c>
      <c r="AJ307" s="30">
        <v>-4.7</v>
      </c>
      <c r="AK307" s="30">
        <v>-11.9</v>
      </c>
      <c r="AL307" s="30">
        <v>3.3</v>
      </c>
    </row>
    <row r="308" spans="1:38" x14ac:dyDescent="0.25">
      <c r="A308" s="31" t="s">
        <v>871</v>
      </c>
      <c r="B308" s="30">
        <v>-36</v>
      </c>
      <c r="C308" s="30">
        <v>-34</v>
      </c>
      <c r="D308" s="30">
        <v>-34</v>
      </c>
      <c r="E308" s="30">
        <v>-32</v>
      </c>
      <c r="F308" s="30">
        <v>-18</v>
      </c>
      <c r="G308" s="30">
        <v>-43</v>
      </c>
      <c r="H308" s="30">
        <v>7.8</v>
      </c>
      <c r="I308" s="30">
        <v>149</v>
      </c>
      <c r="J308" s="30">
        <v>-9.1999999999999993</v>
      </c>
      <c r="K308" s="30">
        <v>195</v>
      </c>
      <c r="L308" s="30">
        <v>-6.1</v>
      </c>
      <c r="M308" s="30">
        <v>208</v>
      </c>
      <c r="N308" s="30">
        <v>-5.0999999999999996</v>
      </c>
      <c r="O308" s="30">
        <v>79</v>
      </c>
      <c r="P308" s="30">
        <v>77</v>
      </c>
      <c r="Q308" s="30">
        <v>134</v>
      </c>
      <c r="R308" s="30" t="s">
        <v>146</v>
      </c>
      <c r="S308" s="30">
        <v>5.9</v>
      </c>
      <c r="T308" s="30">
        <v>4.5</v>
      </c>
      <c r="U308" s="34">
        <v>1</v>
      </c>
      <c r="Y308" s="31" t="s">
        <v>406</v>
      </c>
      <c r="Z308" s="30">
        <v>-12.9</v>
      </c>
      <c r="AA308" s="30">
        <v>-12.4</v>
      </c>
      <c r="AB308" s="30">
        <v>-5.4</v>
      </c>
      <c r="AC308" s="30">
        <v>7.1</v>
      </c>
      <c r="AD308" s="30">
        <v>15.4</v>
      </c>
      <c r="AE308" s="30">
        <v>20.100000000000001</v>
      </c>
      <c r="AF308" s="30">
        <v>22</v>
      </c>
      <c r="AG308" s="30">
        <v>20.100000000000001</v>
      </c>
      <c r="AH308" s="30">
        <v>13.9</v>
      </c>
      <c r="AI308" s="30">
        <v>5.3</v>
      </c>
      <c r="AJ308" s="30">
        <v>-3.1</v>
      </c>
      <c r="AK308" s="30">
        <v>-9.9</v>
      </c>
      <c r="AL308" s="30">
        <v>5</v>
      </c>
    </row>
    <row r="309" spans="1:38" x14ac:dyDescent="0.25">
      <c r="A309" s="31" t="s">
        <v>405</v>
      </c>
      <c r="B309" s="30">
        <v>-36</v>
      </c>
      <c r="C309" s="30">
        <v>-34</v>
      </c>
      <c r="D309" s="30">
        <v>-33</v>
      </c>
      <c r="E309" s="30">
        <v>-29</v>
      </c>
      <c r="F309" s="30">
        <v>-20</v>
      </c>
      <c r="G309" s="30">
        <v>-43</v>
      </c>
      <c r="H309" s="30">
        <v>8.1</v>
      </c>
      <c r="I309" s="30">
        <v>153</v>
      </c>
      <c r="J309" s="30">
        <v>-9.6</v>
      </c>
      <c r="K309" s="30">
        <v>201</v>
      </c>
      <c r="L309" s="30">
        <v>-6.3</v>
      </c>
      <c r="M309" s="30">
        <v>215</v>
      </c>
      <c r="N309" s="30">
        <v>-5.3</v>
      </c>
      <c r="O309" s="30">
        <v>81</v>
      </c>
      <c r="P309" s="30">
        <v>79</v>
      </c>
      <c r="Q309" s="30">
        <v>116</v>
      </c>
      <c r="R309" s="30" t="s">
        <v>185</v>
      </c>
      <c r="S309" s="30">
        <v>7.6</v>
      </c>
      <c r="T309" s="30">
        <v>4.0999999999999996</v>
      </c>
      <c r="U309" s="34">
        <v>1</v>
      </c>
      <c r="Y309" s="31" t="s">
        <v>405</v>
      </c>
      <c r="Z309" s="30">
        <v>-14.4</v>
      </c>
      <c r="AA309" s="30">
        <v>-13.5</v>
      </c>
      <c r="AB309" s="30">
        <v>-6.6</v>
      </c>
      <c r="AC309" s="30">
        <v>5.8</v>
      </c>
      <c r="AD309" s="30">
        <v>14.6</v>
      </c>
      <c r="AE309" s="30">
        <v>19.2</v>
      </c>
      <c r="AF309" s="30">
        <v>21</v>
      </c>
      <c r="AG309" s="30">
        <v>19.600000000000001</v>
      </c>
      <c r="AH309" s="30">
        <v>13.1</v>
      </c>
      <c r="AI309" s="30">
        <v>4.0999999999999996</v>
      </c>
      <c r="AJ309" s="30">
        <v>-3.8</v>
      </c>
      <c r="AK309" s="30">
        <v>-10.4</v>
      </c>
      <c r="AL309" s="30">
        <v>4.0999999999999996</v>
      </c>
    </row>
    <row r="310" spans="1:38" x14ac:dyDescent="0.25">
      <c r="A310" s="33" t="s">
        <v>404</v>
      </c>
      <c r="B310" s="70"/>
      <c r="C310" s="70"/>
      <c r="D310" s="70"/>
      <c r="E310" s="70"/>
      <c r="F310" s="70"/>
      <c r="G310" s="70"/>
      <c r="H310" s="70"/>
      <c r="I310" s="70"/>
      <c r="J310" s="70"/>
      <c r="K310" s="70"/>
      <c r="L310" s="70"/>
      <c r="M310" s="70"/>
      <c r="N310" s="70"/>
      <c r="O310" s="70"/>
      <c r="P310" s="70"/>
      <c r="Q310" s="70"/>
      <c r="R310" s="70"/>
      <c r="S310" s="70"/>
      <c r="T310" s="70"/>
      <c r="U310" s="34"/>
      <c r="Y310" s="33" t="s">
        <v>404</v>
      </c>
      <c r="Z310" s="70"/>
      <c r="AA310" s="70"/>
      <c r="AB310" s="70"/>
      <c r="AC310" s="70"/>
      <c r="AD310" s="70"/>
      <c r="AE310" s="70"/>
      <c r="AF310" s="70"/>
      <c r="AG310" s="70"/>
      <c r="AH310" s="70"/>
      <c r="AI310" s="70"/>
      <c r="AJ310" s="70"/>
      <c r="AK310" s="70"/>
      <c r="AL310" s="70"/>
    </row>
    <row r="311" spans="1:38" x14ac:dyDescent="0.25">
      <c r="A311" s="31" t="s">
        <v>872</v>
      </c>
      <c r="B311" s="30">
        <v>-31</v>
      </c>
      <c r="C311" s="30">
        <v>-29</v>
      </c>
      <c r="D311" s="30">
        <v>-26</v>
      </c>
      <c r="E311" s="30">
        <v>-25</v>
      </c>
      <c r="F311" s="30">
        <v>-13</v>
      </c>
      <c r="G311" s="30">
        <v>-39</v>
      </c>
      <c r="H311" s="30">
        <v>6</v>
      </c>
      <c r="I311" s="30">
        <v>135</v>
      </c>
      <c r="J311" s="30">
        <v>-5.5</v>
      </c>
      <c r="K311" s="30">
        <v>199</v>
      </c>
      <c r="L311" s="30">
        <v>-2.4</v>
      </c>
      <c r="M311" s="30">
        <v>216</v>
      </c>
      <c r="N311" s="30">
        <v>-1.5</v>
      </c>
      <c r="O311" s="30">
        <v>84</v>
      </c>
      <c r="P311" s="30">
        <v>82</v>
      </c>
      <c r="Q311" s="30">
        <v>178</v>
      </c>
      <c r="R311" s="30" t="s">
        <v>150</v>
      </c>
      <c r="S311" s="30">
        <v>4.7</v>
      </c>
      <c r="T311" s="30">
        <v>4</v>
      </c>
      <c r="U311" s="32">
        <v>0</v>
      </c>
      <c r="Y311" s="31" t="s">
        <v>403</v>
      </c>
      <c r="Z311" s="30">
        <v>-7.8</v>
      </c>
      <c r="AA311" s="30">
        <v>-7.3</v>
      </c>
      <c r="AB311" s="30">
        <v>-1.9</v>
      </c>
      <c r="AC311" s="30">
        <v>6.9</v>
      </c>
      <c r="AD311" s="30">
        <v>13.9</v>
      </c>
      <c r="AE311" s="30">
        <v>17.2</v>
      </c>
      <c r="AF311" s="30">
        <v>18.7</v>
      </c>
      <c r="AG311" s="30">
        <v>17.600000000000001</v>
      </c>
      <c r="AH311" s="30">
        <v>11.9</v>
      </c>
      <c r="AI311" s="30">
        <v>5.7</v>
      </c>
      <c r="AJ311" s="30">
        <v>-0.6</v>
      </c>
      <c r="AK311" s="30">
        <v>-5.4</v>
      </c>
      <c r="AL311" s="30">
        <v>5.7</v>
      </c>
    </row>
    <row r="312" spans="1:38" x14ac:dyDescent="0.25">
      <c r="A312" s="33" t="s">
        <v>402</v>
      </c>
      <c r="B312" s="70"/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  <c r="S312" s="70"/>
      <c r="T312" s="70"/>
      <c r="U312" s="34"/>
      <c r="Y312" s="33" t="s">
        <v>402</v>
      </c>
      <c r="Z312" s="70"/>
      <c r="AA312" s="70"/>
      <c r="AB312" s="70"/>
      <c r="AC312" s="70"/>
      <c r="AD312" s="70"/>
      <c r="AE312" s="70"/>
      <c r="AF312" s="70"/>
      <c r="AG312" s="70"/>
      <c r="AH312" s="70"/>
      <c r="AI312" s="70"/>
      <c r="AJ312" s="70"/>
      <c r="AK312" s="70"/>
      <c r="AL312" s="70"/>
    </row>
    <row r="313" spans="1:38" x14ac:dyDescent="0.25">
      <c r="A313" s="31" t="s">
        <v>873</v>
      </c>
      <c r="B313" s="30">
        <v>-37</v>
      </c>
      <c r="C313" s="30">
        <v>-34</v>
      </c>
      <c r="D313" s="30">
        <v>-30</v>
      </c>
      <c r="E313" s="30">
        <v>-28</v>
      </c>
      <c r="F313" s="30">
        <v>-15</v>
      </c>
      <c r="G313" s="30">
        <v>-43</v>
      </c>
      <c r="H313" s="30">
        <v>6.9</v>
      </c>
      <c r="I313" s="30">
        <v>142</v>
      </c>
      <c r="J313" s="30">
        <v>-7</v>
      </c>
      <c r="K313" s="30">
        <v>200</v>
      </c>
      <c r="L313" s="30">
        <v>-3.8</v>
      </c>
      <c r="M313" s="30">
        <v>216</v>
      </c>
      <c r="N313" s="30">
        <v>-2.9</v>
      </c>
      <c r="O313" s="30">
        <v>85</v>
      </c>
      <c r="P313" s="30">
        <v>84</v>
      </c>
      <c r="Q313" s="30">
        <v>179</v>
      </c>
      <c r="R313" s="30" t="s">
        <v>150</v>
      </c>
      <c r="S313" s="30">
        <v>4.3</v>
      </c>
      <c r="T313" s="30">
        <v>3.6</v>
      </c>
      <c r="U313" s="34">
        <v>0</v>
      </c>
      <c r="Y313" s="31" t="s">
        <v>401</v>
      </c>
      <c r="Z313" s="30">
        <v>-9.3000000000000007</v>
      </c>
      <c r="AA313" s="30">
        <v>-9.5</v>
      </c>
      <c r="AB313" s="30">
        <v>-3.6</v>
      </c>
      <c r="AC313" s="30">
        <v>6.6</v>
      </c>
      <c r="AD313" s="30">
        <v>14</v>
      </c>
      <c r="AE313" s="30">
        <v>17.7</v>
      </c>
      <c r="AF313" s="30">
        <v>19.5</v>
      </c>
      <c r="AG313" s="30">
        <v>17.8</v>
      </c>
      <c r="AH313" s="30">
        <v>12.1</v>
      </c>
      <c r="AI313" s="30">
        <v>5.0999999999999996</v>
      </c>
      <c r="AJ313" s="30">
        <v>-1.7</v>
      </c>
      <c r="AK313" s="30">
        <v>-7.2</v>
      </c>
      <c r="AL313" s="30">
        <v>5.0999999999999996</v>
      </c>
    </row>
    <row r="314" spans="1:38" x14ac:dyDescent="0.25">
      <c r="A314" s="31" t="s">
        <v>874</v>
      </c>
      <c r="B314" s="30">
        <v>-34</v>
      </c>
      <c r="C314" s="30">
        <v>-31</v>
      </c>
      <c r="D314" s="30">
        <v>-29</v>
      </c>
      <c r="E314" s="30">
        <v>-27</v>
      </c>
      <c r="F314" s="30">
        <v>-15</v>
      </c>
      <c r="G314" s="30">
        <v>-43</v>
      </c>
      <c r="H314" s="30">
        <v>6.5</v>
      </c>
      <c r="I314" s="30">
        <v>143</v>
      </c>
      <c r="J314" s="30">
        <v>-7.3</v>
      </c>
      <c r="K314" s="30">
        <v>200</v>
      </c>
      <c r="L314" s="30">
        <v>-4.0999999999999996</v>
      </c>
      <c r="M314" s="30">
        <v>214</v>
      </c>
      <c r="N314" s="30">
        <v>-3.2</v>
      </c>
      <c r="O314" s="30">
        <v>83</v>
      </c>
      <c r="P314" s="30">
        <v>82</v>
      </c>
      <c r="Q314" s="30">
        <v>221</v>
      </c>
      <c r="R314" s="30" t="s">
        <v>155</v>
      </c>
      <c r="S314" s="30">
        <v>4.4000000000000004</v>
      </c>
      <c r="T314" s="30">
        <v>3.9</v>
      </c>
      <c r="U314" s="34">
        <v>0</v>
      </c>
      <c r="Y314" s="31" t="s">
        <v>400</v>
      </c>
      <c r="Z314" s="30">
        <v>-9.8000000000000007</v>
      </c>
      <c r="AA314" s="30">
        <v>-9.6999999999999993</v>
      </c>
      <c r="AB314" s="30">
        <v>-3.7</v>
      </c>
      <c r="AC314" s="30">
        <v>6.8</v>
      </c>
      <c r="AD314" s="30">
        <v>14.2</v>
      </c>
      <c r="AE314" s="30">
        <v>18</v>
      </c>
      <c r="AF314" s="30">
        <v>19.8</v>
      </c>
      <c r="AG314" s="30">
        <v>18</v>
      </c>
      <c r="AH314" s="30">
        <v>12.2</v>
      </c>
      <c r="AI314" s="30">
        <v>5.0999999999999996</v>
      </c>
      <c r="AJ314" s="30">
        <v>-2</v>
      </c>
      <c r="AK314" s="30">
        <v>-7.8</v>
      </c>
      <c r="AL314" s="30">
        <v>5.0999999999999996</v>
      </c>
    </row>
    <row r="315" spans="1:38" x14ac:dyDescent="0.25">
      <c r="A315" s="33" t="s">
        <v>399</v>
      </c>
      <c r="B315" s="70"/>
      <c r="C315" s="70"/>
      <c r="D315" s="70"/>
      <c r="E315" s="70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  <c r="U315" s="34"/>
      <c r="Y315" s="33" t="s">
        <v>399</v>
      </c>
      <c r="Z315" s="70"/>
      <c r="AA315" s="70"/>
      <c r="AB315" s="70"/>
      <c r="AC315" s="70"/>
      <c r="AD315" s="70"/>
      <c r="AE315" s="70"/>
      <c r="AF315" s="70"/>
      <c r="AG315" s="70"/>
      <c r="AH315" s="70"/>
      <c r="AI315" s="70"/>
      <c r="AJ315" s="70"/>
      <c r="AK315" s="70"/>
      <c r="AL315" s="70"/>
    </row>
    <row r="316" spans="1:38" x14ac:dyDescent="0.25">
      <c r="A316" s="31" t="s">
        <v>875</v>
      </c>
      <c r="B316" s="30">
        <v>-44</v>
      </c>
      <c r="C316" s="30">
        <v>-39</v>
      </c>
      <c r="D316" s="30">
        <v>-38</v>
      </c>
      <c r="E316" s="30">
        <v>-35</v>
      </c>
      <c r="F316" s="30">
        <v>-23</v>
      </c>
      <c r="G316" s="30">
        <v>-53</v>
      </c>
      <c r="H316" s="30">
        <v>7.1</v>
      </c>
      <c r="I316" s="30">
        <v>183</v>
      </c>
      <c r="J316" s="30">
        <v>-10.7</v>
      </c>
      <c r="K316" s="30">
        <v>250</v>
      </c>
      <c r="L316" s="30">
        <v>-6.7</v>
      </c>
      <c r="M316" s="30">
        <v>270</v>
      </c>
      <c r="N316" s="30">
        <v>-5.6</v>
      </c>
      <c r="O316" s="30">
        <v>85</v>
      </c>
      <c r="P316" s="30">
        <v>86</v>
      </c>
      <c r="Q316" s="30">
        <v>264</v>
      </c>
      <c r="R316" s="30" t="s">
        <v>155</v>
      </c>
      <c r="S316" s="30">
        <v>3.8</v>
      </c>
      <c r="T316" s="30">
        <v>3</v>
      </c>
      <c r="U316" s="34">
        <v>0</v>
      </c>
      <c r="V316" s="35">
        <v>1</v>
      </c>
      <c r="Y316" s="31" t="s">
        <v>398</v>
      </c>
      <c r="Z316" s="30">
        <v>-16.7</v>
      </c>
      <c r="AA316" s="30">
        <v>-14.8</v>
      </c>
      <c r="AB316" s="30">
        <v>-6.7</v>
      </c>
      <c r="AC316" s="30">
        <v>0.7</v>
      </c>
      <c r="AD316" s="30">
        <v>7.7</v>
      </c>
      <c r="AE316" s="30">
        <v>13.4</v>
      </c>
      <c r="AF316" s="30">
        <v>15.8</v>
      </c>
      <c r="AG316" s="30">
        <v>12.6</v>
      </c>
      <c r="AH316" s="30">
        <v>6.9</v>
      </c>
      <c r="AI316" s="30">
        <v>-0.5</v>
      </c>
      <c r="AJ316" s="30">
        <v>-8.5</v>
      </c>
      <c r="AK316" s="30">
        <v>-14.1</v>
      </c>
      <c r="AL316" s="30">
        <v>-0.3</v>
      </c>
    </row>
    <row r="317" spans="1:38" x14ac:dyDescent="0.25">
      <c r="A317" s="31" t="s">
        <v>397</v>
      </c>
      <c r="B317" s="30">
        <v>-44</v>
      </c>
      <c r="C317" s="30">
        <v>-42</v>
      </c>
      <c r="D317" s="30">
        <v>-40</v>
      </c>
      <c r="E317" s="30">
        <v>-36</v>
      </c>
      <c r="F317" s="30">
        <v>-21</v>
      </c>
      <c r="G317" s="30">
        <v>-50</v>
      </c>
      <c r="H317" s="30">
        <v>7.1</v>
      </c>
      <c r="I317" s="30">
        <v>164</v>
      </c>
      <c r="J317" s="30">
        <v>-9.6</v>
      </c>
      <c r="K317" s="30">
        <v>221</v>
      </c>
      <c r="L317" s="30">
        <v>-6.1</v>
      </c>
      <c r="M317" s="30">
        <v>237</v>
      </c>
      <c r="N317" s="30">
        <v>-5.0999999999999996</v>
      </c>
      <c r="O317" s="30">
        <v>80</v>
      </c>
      <c r="P317" s="30">
        <v>77</v>
      </c>
      <c r="Q317" s="30">
        <v>183</v>
      </c>
      <c r="R317" s="30" t="s">
        <v>155</v>
      </c>
      <c r="S317" s="30" t="s">
        <v>41</v>
      </c>
      <c r="T317" s="30">
        <v>2.9</v>
      </c>
      <c r="U317" s="34">
        <v>0</v>
      </c>
      <c r="V317" s="35">
        <v>1</v>
      </c>
      <c r="Y317" s="31" t="s">
        <v>397</v>
      </c>
      <c r="Z317" s="30">
        <v>-14.6</v>
      </c>
      <c r="AA317" s="30">
        <v>-13.7</v>
      </c>
      <c r="AB317" s="30">
        <v>-6.8</v>
      </c>
      <c r="AC317" s="30">
        <v>2.9</v>
      </c>
      <c r="AD317" s="30">
        <v>11</v>
      </c>
      <c r="AE317" s="30">
        <v>16.7</v>
      </c>
      <c r="AF317" s="30">
        <v>18.399999999999999</v>
      </c>
      <c r="AG317" s="30">
        <v>16.399999999999999</v>
      </c>
      <c r="AH317" s="30">
        <v>10.1</v>
      </c>
      <c r="AI317" s="30">
        <v>2.2999999999999998</v>
      </c>
      <c r="AJ317" s="30">
        <v>-5.0999999999999996</v>
      </c>
      <c r="AK317" s="30">
        <v>-12.1</v>
      </c>
      <c r="AL317" s="30">
        <v>2.1</v>
      </c>
    </row>
    <row r="318" spans="1:38" x14ac:dyDescent="0.25">
      <c r="A318" s="31" t="s">
        <v>876</v>
      </c>
      <c r="B318" s="30">
        <v>-42</v>
      </c>
      <c r="C318" s="30">
        <v>-38</v>
      </c>
      <c r="D318" s="30">
        <v>-36</v>
      </c>
      <c r="E318" s="30">
        <v>-35</v>
      </c>
      <c r="F318" s="30">
        <v>-18</v>
      </c>
      <c r="G318" s="30">
        <v>-47</v>
      </c>
      <c r="H318" s="30">
        <v>7.1</v>
      </c>
      <c r="I318" s="30">
        <v>161</v>
      </c>
      <c r="J318" s="30">
        <v>-9.3000000000000007</v>
      </c>
      <c r="K318" s="30">
        <v>225</v>
      </c>
      <c r="L318" s="30">
        <v>-5.5</v>
      </c>
      <c r="M318" s="30">
        <v>243</v>
      </c>
      <c r="N318" s="30">
        <v>-4.4000000000000004</v>
      </c>
      <c r="O318" s="30">
        <v>82</v>
      </c>
      <c r="P318" s="30">
        <v>81</v>
      </c>
      <c r="Q318" s="30">
        <v>181</v>
      </c>
      <c r="R318" s="30" t="s">
        <v>150</v>
      </c>
      <c r="S318" s="30">
        <v>3.4</v>
      </c>
      <c r="T318" s="30">
        <v>2.8</v>
      </c>
      <c r="U318" s="34">
        <v>0</v>
      </c>
      <c r="V318" s="35">
        <v>1</v>
      </c>
      <c r="Y318" s="31" t="s">
        <v>396</v>
      </c>
      <c r="Z318" s="30">
        <v>-13.9</v>
      </c>
      <c r="AA318" s="30">
        <v>-12.3</v>
      </c>
      <c r="AB318" s="30">
        <v>-4.5</v>
      </c>
      <c r="AC318" s="30">
        <v>3.5</v>
      </c>
      <c r="AD318" s="30">
        <v>10.6</v>
      </c>
      <c r="AE318" s="30">
        <v>15.8</v>
      </c>
      <c r="AF318" s="30">
        <v>18.2</v>
      </c>
      <c r="AG318" s="30">
        <v>15.1</v>
      </c>
      <c r="AH318" s="30">
        <v>9.5</v>
      </c>
      <c r="AI318" s="30">
        <v>2.2999999999999998</v>
      </c>
      <c r="AJ318" s="30">
        <v>-5.6</v>
      </c>
      <c r="AK318" s="30">
        <v>-11.3</v>
      </c>
      <c r="AL318" s="30">
        <v>2.2999999999999998</v>
      </c>
    </row>
    <row r="319" spans="1:38" x14ac:dyDescent="0.25">
      <c r="A319" s="31" t="s">
        <v>395</v>
      </c>
      <c r="B319" s="30">
        <v>-45</v>
      </c>
      <c r="C319" s="30">
        <v>-42</v>
      </c>
      <c r="D319" s="30">
        <v>-40</v>
      </c>
      <c r="E319" s="30">
        <v>-37</v>
      </c>
      <c r="F319" s="30">
        <v>-22</v>
      </c>
      <c r="G319" s="30">
        <v>-52</v>
      </c>
      <c r="H319" s="30">
        <v>6.9</v>
      </c>
      <c r="I319" s="30">
        <v>176</v>
      </c>
      <c r="J319" s="30">
        <v>-10.9</v>
      </c>
      <c r="K319" s="30">
        <v>245</v>
      </c>
      <c r="L319" s="30">
        <v>-6.7</v>
      </c>
      <c r="M319" s="30">
        <v>261</v>
      </c>
      <c r="N319" s="30">
        <v>-5.7</v>
      </c>
      <c r="O319" s="30">
        <v>86</v>
      </c>
      <c r="P319" s="30">
        <v>83</v>
      </c>
      <c r="Q319" s="30">
        <v>229</v>
      </c>
      <c r="R319" s="30" t="s">
        <v>150</v>
      </c>
      <c r="S319" s="30" t="s">
        <v>41</v>
      </c>
      <c r="T319" s="30">
        <v>4.3</v>
      </c>
      <c r="U319" s="34">
        <v>0</v>
      </c>
      <c r="V319" s="35">
        <v>1</v>
      </c>
      <c r="Y319" s="31" t="s">
        <v>395</v>
      </c>
      <c r="Z319" s="30">
        <v>-17</v>
      </c>
      <c r="AA319" s="30">
        <v>-14.8</v>
      </c>
      <c r="AB319" s="30">
        <v>-7.9</v>
      </c>
      <c r="AC319" s="30">
        <v>1.4</v>
      </c>
      <c r="AD319" s="30">
        <v>8</v>
      </c>
      <c r="AE319" s="30">
        <v>14.4</v>
      </c>
      <c r="AF319" s="30">
        <v>16.899999999999999</v>
      </c>
      <c r="AG319" s="30">
        <v>14.3</v>
      </c>
      <c r="AH319" s="30">
        <v>8</v>
      </c>
      <c r="AI319" s="30">
        <v>-0.3</v>
      </c>
      <c r="AJ319" s="30">
        <v>-8.3000000000000007</v>
      </c>
      <c r="AK319" s="30">
        <v>-14.4</v>
      </c>
      <c r="AL319" s="30">
        <v>0</v>
      </c>
    </row>
    <row r="320" spans="1:38" x14ac:dyDescent="0.25">
      <c r="A320" s="33" t="s">
        <v>394</v>
      </c>
      <c r="B320" s="70"/>
      <c r="C320" s="70"/>
      <c r="D320" s="70"/>
      <c r="E320" s="70"/>
      <c r="F320" s="70"/>
      <c r="G320" s="70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  <c r="U320" s="34"/>
      <c r="Y320" s="33" t="s">
        <v>394</v>
      </c>
      <c r="Z320" s="70"/>
      <c r="AA320" s="70"/>
      <c r="AB320" s="70"/>
      <c r="AC320" s="70"/>
      <c r="AD320" s="70"/>
      <c r="AE320" s="70"/>
      <c r="AF320" s="70"/>
      <c r="AG320" s="70"/>
      <c r="AH320" s="70"/>
      <c r="AI320" s="70"/>
      <c r="AJ320" s="70"/>
      <c r="AK320" s="70"/>
      <c r="AL320" s="70"/>
    </row>
    <row r="321" spans="1:38" x14ac:dyDescent="0.25">
      <c r="A321" s="31" t="s">
        <v>393</v>
      </c>
      <c r="B321" s="30">
        <v>-34</v>
      </c>
      <c r="C321" s="30">
        <v>-32</v>
      </c>
      <c r="D321" s="30">
        <v>-30</v>
      </c>
      <c r="E321" s="30">
        <v>-28</v>
      </c>
      <c r="F321" s="30">
        <v>-16</v>
      </c>
      <c r="G321" s="30">
        <v>-43</v>
      </c>
      <c r="H321" s="30">
        <v>16.100000000000001</v>
      </c>
      <c r="I321" s="30">
        <v>165</v>
      </c>
      <c r="J321" s="30">
        <v>-12.8</v>
      </c>
      <c r="K321" s="30">
        <v>231</v>
      </c>
      <c r="L321" s="30">
        <v>-7.9</v>
      </c>
      <c r="M321" s="30">
        <v>249</v>
      </c>
      <c r="N321" s="30">
        <v>-6.6</v>
      </c>
      <c r="O321" s="30">
        <v>69</v>
      </c>
      <c r="P321" s="30">
        <v>64</v>
      </c>
      <c r="Q321" s="30">
        <v>116</v>
      </c>
      <c r="R321" s="30" t="s">
        <v>140</v>
      </c>
      <c r="S321" s="30" t="s">
        <v>41</v>
      </c>
      <c r="T321" s="30">
        <v>1.4</v>
      </c>
      <c r="U321" s="34">
        <v>4</v>
      </c>
      <c r="Y321" s="31" t="s">
        <v>393</v>
      </c>
      <c r="Z321" s="30">
        <v>-20.3</v>
      </c>
      <c r="AA321" s="30">
        <v>-15.8</v>
      </c>
      <c r="AB321" s="30">
        <v>-7.1</v>
      </c>
      <c r="AC321" s="30">
        <v>2.1</v>
      </c>
      <c r="AD321" s="30">
        <v>8.3000000000000007</v>
      </c>
      <c r="AE321" s="30">
        <v>13.3</v>
      </c>
      <c r="AF321" s="30">
        <v>17.3</v>
      </c>
      <c r="AG321" s="30">
        <v>17.2</v>
      </c>
      <c r="AH321" s="30">
        <v>11.1</v>
      </c>
      <c r="AI321" s="30">
        <v>2.9</v>
      </c>
      <c r="AJ321" s="30">
        <v>-8.4</v>
      </c>
      <c r="AK321" s="30">
        <v>-18</v>
      </c>
      <c r="AL321" s="30">
        <v>0.2</v>
      </c>
    </row>
    <row r="322" spans="1:38" x14ac:dyDescent="0.25">
      <c r="A322" s="31" t="s">
        <v>392</v>
      </c>
      <c r="B322" s="30">
        <v>-35</v>
      </c>
      <c r="C322" s="30">
        <v>-33</v>
      </c>
      <c r="D322" s="30">
        <v>-33</v>
      </c>
      <c r="E322" s="30">
        <v>-31</v>
      </c>
      <c r="F322" s="30">
        <v>-25</v>
      </c>
      <c r="G322" s="30">
        <v>-44</v>
      </c>
      <c r="H322" s="30">
        <v>16.600000000000001</v>
      </c>
      <c r="I322" s="30">
        <v>152</v>
      </c>
      <c r="J322" s="30">
        <v>-12.2</v>
      </c>
      <c r="K322" s="30">
        <v>203</v>
      </c>
      <c r="L322" s="30">
        <v>-8.1</v>
      </c>
      <c r="M322" s="30">
        <v>219</v>
      </c>
      <c r="N322" s="30">
        <v>-6.8</v>
      </c>
      <c r="O322" s="30">
        <v>73</v>
      </c>
      <c r="P322" s="30">
        <v>59</v>
      </c>
      <c r="Q322" s="30">
        <v>120</v>
      </c>
      <c r="R322" s="30" t="s">
        <v>155</v>
      </c>
      <c r="S322" s="30" t="s">
        <v>41</v>
      </c>
      <c r="T322" s="30">
        <v>2.2000000000000002</v>
      </c>
      <c r="U322" s="34">
        <v>4</v>
      </c>
      <c r="Y322" s="31" t="s">
        <v>392</v>
      </c>
      <c r="Z322" s="30">
        <v>-20.3</v>
      </c>
      <c r="AA322" s="30">
        <v>-16</v>
      </c>
      <c r="AB322" s="30">
        <v>-5.9</v>
      </c>
      <c r="AC322" s="30">
        <v>5</v>
      </c>
      <c r="AD322" s="30">
        <v>12.1</v>
      </c>
      <c r="AE322" s="30">
        <v>17</v>
      </c>
      <c r="AF322" s="30">
        <v>21.1</v>
      </c>
      <c r="AG322" s="30">
        <v>20.6</v>
      </c>
      <c r="AH322" s="30">
        <v>13.7</v>
      </c>
      <c r="AI322" s="30">
        <v>5.7</v>
      </c>
      <c r="AJ322" s="30">
        <v>-5.7</v>
      </c>
      <c r="AK322" s="30">
        <v>-16.7</v>
      </c>
      <c r="AL322" s="30">
        <v>2.6</v>
      </c>
    </row>
    <row r="323" spans="1:38" x14ac:dyDescent="0.25">
      <c r="A323" s="31" t="s">
        <v>391</v>
      </c>
      <c r="B323" s="30">
        <v>-30</v>
      </c>
      <c r="C323" s="30">
        <v>-29</v>
      </c>
      <c r="D323" s="30">
        <v>-28</v>
      </c>
      <c r="E323" s="30">
        <v>-26</v>
      </c>
      <c r="F323" s="30">
        <v>-23</v>
      </c>
      <c r="G323" s="30">
        <v>-40</v>
      </c>
      <c r="H323" s="30">
        <v>10.6</v>
      </c>
      <c r="I323" s="30">
        <v>148</v>
      </c>
      <c r="J323" s="30">
        <v>-10.5</v>
      </c>
      <c r="K323" s="30">
        <v>202</v>
      </c>
      <c r="L323" s="30">
        <v>-6.6</v>
      </c>
      <c r="M323" s="30">
        <v>218</v>
      </c>
      <c r="N323" s="30">
        <v>-5.5</v>
      </c>
      <c r="O323" s="30">
        <v>68</v>
      </c>
      <c r="P323" s="30">
        <v>63</v>
      </c>
      <c r="Q323" s="30">
        <v>47</v>
      </c>
      <c r="R323" s="30" t="s">
        <v>155</v>
      </c>
      <c r="S323" s="30" t="s">
        <v>41</v>
      </c>
      <c r="T323" s="30">
        <v>3.4</v>
      </c>
      <c r="U323" s="34">
        <v>4</v>
      </c>
      <c r="Y323" s="31" t="s">
        <v>391</v>
      </c>
      <c r="Z323" s="30">
        <v>-17.7</v>
      </c>
      <c r="AA323" s="30">
        <v>-13.6</v>
      </c>
      <c r="AB323" s="30">
        <v>-4.8</v>
      </c>
      <c r="AC323" s="30">
        <v>4.4000000000000004</v>
      </c>
      <c r="AD323" s="30">
        <v>11.6</v>
      </c>
      <c r="AE323" s="30">
        <v>16.5</v>
      </c>
      <c r="AF323" s="30">
        <v>20.6</v>
      </c>
      <c r="AG323" s="30">
        <v>20.9</v>
      </c>
      <c r="AH323" s="30">
        <v>14.9</v>
      </c>
      <c r="AI323" s="30">
        <v>6.7</v>
      </c>
      <c r="AJ323" s="30">
        <v>-4.3</v>
      </c>
      <c r="AK323" s="30">
        <v>-13.9</v>
      </c>
      <c r="AL323" s="30">
        <v>3.4</v>
      </c>
    </row>
    <row r="324" spans="1:38" x14ac:dyDescent="0.25">
      <c r="A324" s="31" t="s">
        <v>390</v>
      </c>
      <c r="B324" s="30">
        <v>-26</v>
      </c>
      <c r="C324" s="30">
        <v>-25</v>
      </c>
      <c r="D324" s="30">
        <v>-23</v>
      </c>
      <c r="E324" s="30">
        <v>-21</v>
      </c>
      <c r="F324" s="30">
        <v>-18</v>
      </c>
      <c r="G324" s="30">
        <v>-30</v>
      </c>
      <c r="H324" s="30">
        <v>9.3000000000000007</v>
      </c>
      <c r="I324" s="30">
        <v>142</v>
      </c>
      <c r="J324" s="30">
        <v>-8.1</v>
      </c>
      <c r="K324" s="30">
        <v>208</v>
      </c>
      <c r="L324" s="30">
        <v>-4.2</v>
      </c>
      <c r="M324" s="30">
        <v>229</v>
      </c>
      <c r="N324" s="30">
        <v>-2.9</v>
      </c>
      <c r="O324" s="30">
        <v>52</v>
      </c>
      <c r="P324" s="30">
        <v>46</v>
      </c>
      <c r="Q324" s="30">
        <v>101</v>
      </c>
      <c r="R324" s="30" t="s">
        <v>140</v>
      </c>
      <c r="S324" s="30" t="s">
        <v>41</v>
      </c>
      <c r="T324" s="30">
        <v>4.0999999999999996</v>
      </c>
      <c r="U324" s="34">
        <v>4</v>
      </c>
      <c r="Y324" s="31" t="s">
        <v>390</v>
      </c>
      <c r="Z324" s="30">
        <v>-13.3</v>
      </c>
      <c r="AA324" s="30">
        <v>-10.1</v>
      </c>
      <c r="AB324" s="30">
        <v>-3.1</v>
      </c>
      <c r="AC324" s="30">
        <v>4.2</v>
      </c>
      <c r="AD324" s="30">
        <v>9.5</v>
      </c>
      <c r="AE324" s="30">
        <v>13.2</v>
      </c>
      <c r="AF324" s="30">
        <v>17.7</v>
      </c>
      <c r="AG324" s="30">
        <v>19.2</v>
      </c>
      <c r="AH324" s="30">
        <v>14.1</v>
      </c>
      <c r="AI324" s="30">
        <v>6.9</v>
      </c>
      <c r="AJ324" s="30">
        <v>-2.6</v>
      </c>
      <c r="AK324" s="30">
        <v>-10.8</v>
      </c>
      <c r="AL324" s="30">
        <v>3.7</v>
      </c>
    </row>
    <row r="325" spans="1:38" x14ac:dyDescent="0.25">
      <c r="A325" s="31" t="s">
        <v>877</v>
      </c>
      <c r="B325" s="30">
        <v>-27</v>
      </c>
      <c r="C325" s="30">
        <v>-24</v>
      </c>
      <c r="D325" s="30">
        <v>-24</v>
      </c>
      <c r="E325" s="30">
        <v>-23</v>
      </c>
      <c r="F325" s="30">
        <v>-16</v>
      </c>
      <c r="G325" s="30">
        <v>-31</v>
      </c>
      <c r="H325" s="30">
        <v>7.5</v>
      </c>
      <c r="I325" s="30">
        <v>136</v>
      </c>
      <c r="J325" s="30">
        <v>-8.1999999999999993</v>
      </c>
      <c r="K325" s="30">
        <v>198</v>
      </c>
      <c r="L325" s="30">
        <v>-4.3</v>
      </c>
      <c r="M325" s="30">
        <v>220</v>
      </c>
      <c r="N325" s="30">
        <v>-3</v>
      </c>
      <c r="O325" s="30">
        <v>59</v>
      </c>
      <c r="P325" s="30">
        <v>52</v>
      </c>
      <c r="Q325" s="30">
        <v>89</v>
      </c>
      <c r="R325" s="30" t="s">
        <v>165</v>
      </c>
      <c r="S325" s="30">
        <v>7.3</v>
      </c>
      <c r="T325" s="30">
        <v>5.2</v>
      </c>
      <c r="U325" s="34">
        <v>4</v>
      </c>
      <c r="Y325" s="31" t="s">
        <v>389</v>
      </c>
      <c r="Z325" s="30">
        <v>-12.6</v>
      </c>
      <c r="AA325" s="30">
        <v>-9.1</v>
      </c>
      <c r="AB325" s="30">
        <v>-2.1</v>
      </c>
      <c r="AC325" s="30">
        <v>4.8</v>
      </c>
      <c r="AD325" s="30">
        <v>9.6999999999999993</v>
      </c>
      <c r="AE325" s="30">
        <v>13.2</v>
      </c>
      <c r="AF325" s="30">
        <v>17.5</v>
      </c>
      <c r="AG325" s="30">
        <v>19.600000000000001</v>
      </c>
      <c r="AH325" s="30">
        <v>15.7</v>
      </c>
      <c r="AI325" s="30">
        <v>8.6999999999999993</v>
      </c>
      <c r="AJ325" s="30">
        <v>-1</v>
      </c>
      <c r="AK325" s="30">
        <v>-9.3000000000000007</v>
      </c>
      <c r="AL325" s="30">
        <v>4.5999999999999996</v>
      </c>
    </row>
    <row r="326" spans="1:38" x14ac:dyDescent="0.25">
      <c r="A326" s="31" t="s">
        <v>878</v>
      </c>
      <c r="B326" s="30">
        <v>-33</v>
      </c>
      <c r="C326" s="30">
        <v>-30</v>
      </c>
      <c r="D326" s="30">
        <v>-29</v>
      </c>
      <c r="E326" s="30">
        <v>-29</v>
      </c>
      <c r="F326" s="30">
        <v>-23</v>
      </c>
      <c r="G326" s="30">
        <v>-42</v>
      </c>
      <c r="H326" s="30">
        <v>10.4</v>
      </c>
      <c r="I326" s="30">
        <v>151</v>
      </c>
      <c r="J326" s="30">
        <v>-12.8</v>
      </c>
      <c r="K326" s="30">
        <v>199</v>
      </c>
      <c r="L326" s="30">
        <v>-8.6999999999999993</v>
      </c>
      <c r="M326" s="30">
        <v>214</v>
      </c>
      <c r="N326" s="30">
        <v>-7.5</v>
      </c>
      <c r="O326" s="30">
        <v>73</v>
      </c>
      <c r="P326" s="30">
        <v>64</v>
      </c>
      <c r="Q326" s="30">
        <v>82</v>
      </c>
      <c r="R326" s="30" t="s">
        <v>142</v>
      </c>
      <c r="S326" s="30">
        <v>2.9</v>
      </c>
      <c r="T326" s="30">
        <v>3</v>
      </c>
      <c r="U326" s="34">
        <v>4</v>
      </c>
      <c r="Y326" s="31" t="s">
        <v>388</v>
      </c>
      <c r="Z326" s="30">
        <v>-19.3</v>
      </c>
      <c r="AA326" s="30">
        <v>-14.8</v>
      </c>
      <c r="AB326" s="30">
        <v>-5.3</v>
      </c>
      <c r="AC326" s="30">
        <v>5.6</v>
      </c>
      <c r="AD326" s="30">
        <v>12.7</v>
      </c>
      <c r="AE326" s="30">
        <v>17.7</v>
      </c>
      <c r="AF326" s="30">
        <v>21.2</v>
      </c>
      <c r="AG326" s="30">
        <v>20.3</v>
      </c>
      <c r="AH326" s="30">
        <v>13.9</v>
      </c>
      <c r="AI326" s="30">
        <v>5.6</v>
      </c>
      <c r="AJ326" s="30">
        <v>-5.8</v>
      </c>
      <c r="AK326" s="30">
        <v>-16.2</v>
      </c>
      <c r="AL326" s="30">
        <v>3</v>
      </c>
    </row>
    <row r="327" spans="1:38" x14ac:dyDescent="0.25">
      <c r="A327" s="31" t="s">
        <v>387</v>
      </c>
      <c r="B327" s="30">
        <v>-37</v>
      </c>
      <c r="C327" s="30">
        <v>-35</v>
      </c>
      <c r="D327" s="30">
        <v>-34</v>
      </c>
      <c r="E327" s="30">
        <v>-31</v>
      </c>
      <c r="F327" s="30">
        <v>-25</v>
      </c>
      <c r="G327" s="30">
        <v>-44</v>
      </c>
      <c r="H327" s="30">
        <v>13.7</v>
      </c>
      <c r="I327" s="30">
        <v>151</v>
      </c>
      <c r="J327" s="30">
        <v>-13.3</v>
      </c>
      <c r="K327" s="30">
        <v>201</v>
      </c>
      <c r="L327" s="30">
        <v>-8.8000000000000007</v>
      </c>
      <c r="M327" s="30">
        <v>217</v>
      </c>
      <c r="N327" s="30">
        <v>-7.5</v>
      </c>
      <c r="O327" s="30">
        <v>73</v>
      </c>
      <c r="P327" s="30">
        <v>69</v>
      </c>
      <c r="Q327" s="30">
        <v>98</v>
      </c>
      <c r="R327" s="30" t="s">
        <v>150</v>
      </c>
      <c r="S327" s="30" t="s">
        <v>41</v>
      </c>
      <c r="T327" s="30">
        <v>2.1</v>
      </c>
      <c r="U327" s="34">
        <v>4</v>
      </c>
      <c r="Y327" s="31" t="s">
        <v>387</v>
      </c>
      <c r="Z327" s="30">
        <v>-20.6</v>
      </c>
      <c r="AA327" s="30">
        <v>-16.899999999999999</v>
      </c>
      <c r="AB327" s="30">
        <v>-6.4</v>
      </c>
      <c r="AC327" s="30">
        <v>5.0999999999999996</v>
      </c>
      <c r="AD327" s="30">
        <v>12.7</v>
      </c>
      <c r="AE327" s="30">
        <v>17.600000000000001</v>
      </c>
      <c r="AF327" s="30">
        <v>21.5</v>
      </c>
      <c r="AG327" s="30">
        <v>20.8</v>
      </c>
      <c r="AH327" s="30">
        <v>14.2</v>
      </c>
      <c r="AI327" s="30">
        <v>5.9</v>
      </c>
      <c r="AJ327" s="30">
        <v>-5.8</v>
      </c>
      <c r="AK327" s="30">
        <v>-16.7</v>
      </c>
      <c r="AL327" s="30">
        <v>2.6</v>
      </c>
    </row>
    <row r="328" spans="1:38" x14ac:dyDescent="0.25">
      <c r="A328" s="31" t="s">
        <v>386</v>
      </c>
      <c r="B328" s="30">
        <v>-39</v>
      </c>
      <c r="C328" s="30">
        <v>-36</v>
      </c>
      <c r="D328" s="30">
        <v>-35</v>
      </c>
      <c r="E328" s="30">
        <v>-34</v>
      </c>
      <c r="F328" s="30">
        <v>-25</v>
      </c>
      <c r="G328" s="30">
        <v>-47</v>
      </c>
      <c r="H328" s="30">
        <v>17.100000000000001</v>
      </c>
      <c r="I328" s="30">
        <v>164</v>
      </c>
      <c r="J328" s="30">
        <v>-14.7</v>
      </c>
      <c r="K328" s="30">
        <v>217</v>
      </c>
      <c r="L328" s="30">
        <v>-10</v>
      </c>
      <c r="M328" s="30">
        <v>234</v>
      </c>
      <c r="N328" s="30">
        <v>-8.6</v>
      </c>
      <c r="O328" s="30">
        <v>75</v>
      </c>
      <c r="P328" s="30">
        <v>66</v>
      </c>
      <c r="Q328" s="30">
        <v>129</v>
      </c>
      <c r="R328" s="30" t="s">
        <v>155</v>
      </c>
      <c r="S328" s="30" t="s">
        <v>41</v>
      </c>
      <c r="T328" s="30">
        <v>1.4</v>
      </c>
      <c r="U328" s="34">
        <v>4</v>
      </c>
      <c r="Y328" s="31" t="s">
        <v>386</v>
      </c>
      <c r="Z328" s="30">
        <v>-23.4</v>
      </c>
      <c r="AA328" s="30">
        <v>-19.100000000000001</v>
      </c>
      <c r="AB328" s="30">
        <v>-8.1999999999999993</v>
      </c>
      <c r="AC328" s="30">
        <v>3.1</v>
      </c>
      <c r="AD328" s="30">
        <v>10.7</v>
      </c>
      <c r="AE328" s="30">
        <v>16.399999999999999</v>
      </c>
      <c r="AF328" s="30">
        <v>20.399999999999999</v>
      </c>
      <c r="AG328" s="30">
        <v>19.100000000000001</v>
      </c>
      <c r="AH328" s="30">
        <v>12.1</v>
      </c>
      <c r="AI328" s="30">
        <v>3.1</v>
      </c>
      <c r="AJ328" s="30">
        <v>-8.9</v>
      </c>
      <c r="AK328" s="30">
        <v>-19.899999999999999</v>
      </c>
      <c r="AL328" s="30">
        <v>0.5</v>
      </c>
    </row>
    <row r="329" spans="1:38" x14ac:dyDescent="0.25">
      <c r="A329" s="31" t="s">
        <v>385</v>
      </c>
      <c r="B329" s="30">
        <v>-26</v>
      </c>
      <c r="C329" s="30">
        <v>-25</v>
      </c>
      <c r="D329" s="30">
        <v>-22</v>
      </c>
      <c r="E329" s="30">
        <v>-21</v>
      </c>
      <c r="F329" s="30">
        <v>-14</v>
      </c>
      <c r="G329" s="30">
        <v>-36</v>
      </c>
      <c r="H329" s="30">
        <v>14.7</v>
      </c>
      <c r="I329" s="30">
        <v>144</v>
      </c>
      <c r="J329" s="30">
        <v>-8</v>
      </c>
      <c r="K329" s="30">
        <v>209</v>
      </c>
      <c r="L329" s="30">
        <v>-4.0999999999999996</v>
      </c>
      <c r="M329" s="30">
        <v>227</v>
      </c>
      <c r="N329" s="30">
        <v>-3</v>
      </c>
      <c r="O329" s="30">
        <v>58</v>
      </c>
      <c r="P329" s="30">
        <v>52</v>
      </c>
      <c r="Q329" s="30">
        <v>147</v>
      </c>
      <c r="R329" s="30" t="s">
        <v>140</v>
      </c>
      <c r="S329" s="30" t="s">
        <v>41</v>
      </c>
      <c r="T329" s="30">
        <v>2</v>
      </c>
      <c r="U329" s="34">
        <v>4</v>
      </c>
      <c r="Y329" s="31" t="s">
        <v>385</v>
      </c>
      <c r="Z329" s="30">
        <v>-12.7</v>
      </c>
      <c r="AA329" s="30">
        <v>-9.9</v>
      </c>
      <c r="AB329" s="30">
        <v>-3.2</v>
      </c>
      <c r="AC329" s="30">
        <v>4</v>
      </c>
      <c r="AD329" s="30">
        <v>9.1</v>
      </c>
      <c r="AE329" s="30">
        <v>13</v>
      </c>
      <c r="AF329" s="30">
        <v>17.600000000000001</v>
      </c>
      <c r="AG329" s="30">
        <v>19.2</v>
      </c>
      <c r="AH329" s="30">
        <v>14.1</v>
      </c>
      <c r="AI329" s="30">
        <v>7</v>
      </c>
      <c r="AJ329" s="30">
        <v>-1.9</v>
      </c>
      <c r="AK329" s="30">
        <v>-10.1</v>
      </c>
      <c r="AL329" s="30">
        <v>3.9</v>
      </c>
    </row>
    <row r="330" spans="1:38" x14ac:dyDescent="0.25">
      <c r="A330" s="31" t="s">
        <v>879</v>
      </c>
      <c r="B330" s="30">
        <v>-35</v>
      </c>
      <c r="C330" s="30">
        <v>-34</v>
      </c>
      <c r="D330" s="30">
        <v>-32</v>
      </c>
      <c r="E330" s="30">
        <v>-31</v>
      </c>
      <c r="F330" s="30">
        <v>-26</v>
      </c>
      <c r="G330" s="30">
        <v>-49</v>
      </c>
      <c r="H330" s="30">
        <v>16.100000000000001</v>
      </c>
      <c r="I330" s="30">
        <v>165</v>
      </c>
      <c r="J330" s="30">
        <v>-14.3</v>
      </c>
      <c r="K330" s="30">
        <v>221</v>
      </c>
      <c r="L330" s="30">
        <v>-9.6</v>
      </c>
      <c r="M330" s="30">
        <v>239</v>
      </c>
      <c r="N330" s="30">
        <v>-8.1999999999999993</v>
      </c>
      <c r="O330" s="30">
        <v>73</v>
      </c>
      <c r="P330" s="30">
        <v>63</v>
      </c>
      <c r="Q330" s="30">
        <v>97</v>
      </c>
      <c r="R330" s="30" t="s">
        <v>142</v>
      </c>
      <c r="S330" s="30">
        <v>4.2</v>
      </c>
      <c r="T330" s="30">
        <v>2.2000000000000002</v>
      </c>
      <c r="U330" s="34">
        <v>4</v>
      </c>
      <c r="Y330" s="31" t="s">
        <v>384</v>
      </c>
      <c r="Z330" s="30">
        <v>-21.9</v>
      </c>
      <c r="AA330" s="30">
        <v>-17.2</v>
      </c>
      <c r="AB330" s="30">
        <v>-7.7</v>
      </c>
      <c r="AC330" s="30">
        <v>3</v>
      </c>
      <c r="AD330" s="30">
        <v>10</v>
      </c>
      <c r="AE330" s="30">
        <v>15.5</v>
      </c>
      <c r="AF330" s="30">
        <v>19.2</v>
      </c>
      <c r="AG330" s="30">
        <v>18.399999999999999</v>
      </c>
      <c r="AH330" s="30">
        <v>11.4</v>
      </c>
      <c r="AI330" s="30">
        <v>2.9</v>
      </c>
      <c r="AJ330" s="30">
        <v>-8.6</v>
      </c>
      <c r="AK330" s="30">
        <v>-19.2</v>
      </c>
      <c r="AL330" s="30">
        <v>0.5</v>
      </c>
    </row>
    <row r="331" spans="1:38" x14ac:dyDescent="0.25">
      <c r="A331" s="31" t="s">
        <v>383</v>
      </c>
      <c r="B331" s="30">
        <v>-26</v>
      </c>
      <c r="C331" s="30">
        <v>-24</v>
      </c>
      <c r="D331" s="30">
        <v>-23</v>
      </c>
      <c r="E331" s="30">
        <v>-22</v>
      </c>
      <c r="F331" s="30">
        <v>-18</v>
      </c>
      <c r="G331" s="30">
        <v>-30</v>
      </c>
      <c r="H331" s="30">
        <v>9.9</v>
      </c>
      <c r="I331" s="30">
        <v>139</v>
      </c>
      <c r="J331" s="30">
        <v>-8.1999999999999993</v>
      </c>
      <c r="K331" s="30">
        <v>198</v>
      </c>
      <c r="L331" s="30">
        <v>-4.5</v>
      </c>
      <c r="M331" s="30">
        <v>216</v>
      </c>
      <c r="N331" s="30">
        <v>-3.4</v>
      </c>
      <c r="O331" s="30">
        <v>54</v>
      </c>
      <c r="P331" s="30">
        <v>47</v>
      </c>
      <c r="Q331" s="30">
        <v>128</v>
      </c>
      <c r="R331" s="30" t="s">
        <v>165</v>
      </c>
      <c r="S331" s="30">
        <v>8.4</v>
      </c>
      <c r="T331" s="30">
        <v>5</v>
      </c>
      <c r="U331" s="34">
        <v>4</v>
      </c>
      <c r="Y331" s="31" t="s">
        <v>383</v>
      </c>
      <c r="Z331" s="30">
        <v>-13.4</v>
      </c>
      <c r="AA331" s="30">
        <v>-10.3</v>
      </c>
      <c r="AB331" s="30">
        <v>-3.1</v>
      </c>
      <c r="AC331" s="30">
        <v>5.0999999999999996</v>
      </c>
      <c r="AD331" s="30">
        <v>11.3</v>
      </c>
      <c r="AE331" s="30">
        <v>15.1</v>
      </c>
      <c r="AF331" s="30">
        <v>19.399999999999999</v>
      </c>
      <c r="AG331" s="30">
        <v>20.100000000000001</v>
      </c>
      <c r="AH331" s="30">
        <v>14.6</v>
      </c>
      <c r="AI331" s="30">
        <v>7.5</v>
      </c>
      <c r="AJ331" s="30">
        <v>-2.2000000000000002</v>
      </c>
      <c r="AK331" s="30">
        <v>-10.7</v>
      </c>
      <c r="AL331" s="30">
        <v>4.5</v>
      </c>
    </row>
    <row r="332" spans="1:38" x14ac:dyDescent="0.25">
      <c r="A332" s="31" t="s">
        <v>880</v>
      </c>
      <c r="B332" s="30">
        <v>-23</v>
      </c>
      <c r="C332" s="30">
        <v>-22</v>
      </c>
      <c r="D332" s="30">
        <v>-20</v>
      </c>
      <c r="E332" s="30">
        <v>-19</v>
      </c>
      <c r="F332" s="30">
        <v>-14</v>
      </c>
      <c r="G332" s="30">
        <v>-27</v>
      </c>
      <c r="H332" s="30">
        <v>8.3000000000000007</v>
      </c>
      <c r="I332" s="30">
        <v>125</v>
      </c>
      <c r="J332" s="30">
        <v>-6.4</v>
      </c>
      <c r="K332" s="30">
        <v>187</v>
      </c>
      <c r="L332" s="30">
        <v>-2.9</v>
      </c>
      <c r="M332" s="30">
        <v>207</v>
      </c>
      <c r="N332" s="30">
        <v>-1.7</v>
      </c>
      <c r="O332" s="30">
        <v>53</v>
      </c>
      <c r="P332" s="30">
        <v>49</v>
      </c>
      <c r="Q332" s="30">
        <v>67</v>
      </c>
      <c r="R332" s="30" t="s">
        <v>142</v>
      </c>
      <c r="S332" s="30">
        <v>6.7</v>
      </c>
      <c r="T332" s="30">
        <v>4.4000000000000004</v>
      </c>
      <c r="U332" s="34">
        <v>4</v>
      </c>
      <c r="Y332" s="31" t="s">
        <v>382</v>
      </c>
      <c r="Z332" s="30">
        <v>-9.6</v>
      </c>
      <c r="AA332" s="30">
        <v>-6.5</v>
      </c>
      <c r="AB332" s="30">
        <v>-0.5</v>
      </c>
      <c r="AC332" s="30">
        <v>6.1</v>
      </c>
      <c r="AD332" s="30">
        <v>10.9</v>
      </c>
      <c r="AE332" s="30">
        <v>14.7</v>
      </c>
      <c r="AF332" s="30">
        <v>19</v>
      </c>
      <c r="AG332" s="30">
        <v>21.1</v>
      </c>
      <c r="AH332" s="30">
        <v>16.7</v>
      </c>
      <c r="AI332" s="30">
        <v>9.8000000000000007</v>
      </c>
      <c r="AJ332" s="30">
        <v>0.6</v>
      </c>
      <c r="AK332" s="30">
        <v>-6.9</v>
      </c>
      <c r="AL332" s="30">
        <v>6.3</v>
      </c>
    </row>
    <row r="333" spans="1:38" x14ac:dyDescent="0.25">
      <c r="A333" s="31" t="s">
        <v>881</v>
      </c>
      <c r="B333" s="30">
        <v>-22</v>
      </c>
      <c r="C333" s="30">
        <v>-20</v>
      </c>
      <c r="D333" s="30">
        <v>-18</v>
      </c>
      <c r="E333" s="30">
        <v>-16</v>
      </c>
      <c r="F333" s="30">
        <v>-12</v>
      </c>
      <c r="G333" s="30">
        <v>-27</v>
      </c>
      <c r="H333" s="30">
        <v>9.3000000000000007</v>
      </c>
      <c r="I333" s="30">
        <v>123</v>
      </c>
      <c r="J333" s="30">
        <v>-5.3</v>
      </c>
      <c r="K333" s="30">
        <v>202</v>
      </c>
      <c r="L333" s="30">
        <v>-1.6</v>
      </c>
      <c r="M333" s="30">
        <v>229</v>
      </c>
      <c r="N333" s="30">
        <v>-0.3</v>
      </c>
      <c r="O333" s="30">
        <v>45</v>
      </c>
      <c r="P333" s="30">
        <v>42</v>
      </c>
      <c r="Q333" s="30">
        <v>123</v>
      </c>
      <c r="R333" s="30" t="s">
        <v>165</v>
      </c>
      <c r="S333" s="30">
        <v>3.7</v>
      </c>
      <c r="T333" s="30">
        <v>3.3</v>
      </c>
      <c r="U333" s="34">
        <v>4</v>
      </c>
      <c r="Y333" s="31" t="s">
        <v>381</v>
      </c>
      <c r="Z333" s="30">
        <v>-7.8</v>
      </c>
      <c r="AA333" s="30">
        <v>-5.7</v>
      </c>
      <c r="AB333" s="30">
        <v>-0.7</v>
      </c>
      <c r="AC333" s="30">
        <v>4.5999999999999996</v>
      </c>
      <c r="AD333" s="30">
        <v>8.6</v>
      </c>
      <c r="AE333" s="30">
        <v>12.2</v>
      </c>
      <c r="AF333" s="30">
        <v>16.899999999999999</v>
      </c>
      <c r="AG333" s="30">
        <v>19.399999999999999</v>
      </c>
      <c r="AH333" s="30">
        <v>15.8</v>
      </c>
      <c r="AI333" s="30">
        <v>9.4</v>
      </c>
      <c r="AJ333" s="30">
        <v>1.4</v>
      </c>
      <c r="AK333" s="30">
        <v>-5.5</v>
      </c>
      <c r="AL333" s="30">
        <v>5.7</v>
      </c>
    </row>
    <row r="334" spans="1:38" x14ac:dyDescent="0.25">
      <c r="A334" s="31" t="s">
        <v>882</v>
      </c>
      <c r="B334" s="30">
        <v>-23</v>
      </c>
      <c r="C334" s="30">
        <v>-22</v>
      </c>
      <c r="D334" s="30">
        <v>-21</v>
      </c>
      <c r="E334" s="30">
        <v>-19</v>
      </c>
      <c r="F334" s="30">
        <v>-15</v>
      </c>
      <c r="G334" s="30">
        <v>-31</v>
      </c>
      <c r="H334" s="30">
        <v>9.9</v>
      </c>
      <c r="I334" s="30">
        <v>137</v>
      </c>
      <c r="J334" s="30">
        <v>-7.3</v>
      </c>
      <c r="K334" s="30">
        <v>215</v>
      </c>
      <c r="L334" s="30">
        <v>-3.1</v>
      </c>
      <c r="M334" s="30">
        <v>240</v>
      </c>
      <c r="N334" s="30">
        <v>-1.9</v>
      </c>
      <c r="O334" s="30">
        <v>47</v>
      </c>
      <c r="P334" s="30">
        <v>43</v>
      </c>
      <c r="Q334" s="30">
        <v>119</v>
      </c>
      <c r="R334" s="30" t="s">
        <v>142</v>
      </c>
      <c r="S334" s="30">
        <v>4.5999999999999996</v>
      </c>
      <c r="T334" s="30">
        <v>3.5</v>
      </c>
      <c r="U334" s="34">
        <v>4</v>
      </c>
      <c r="Y334" s="31" t="s">
        <v>380</v>
      </c>
      <c r="Z334" s="30">
        <v>-10.9</v>
      </c>
      <c r="AA334" s="30">
        <v>-8.1</v>
      </c>
      <c r="AB334" s="30">
        <v>-2</v>
      </c>
      <c r="AC334" s="30">
        <v>3.7</v>
      </c>
      <c r="AD334" s="30">
        <v>7.9</v>
      </c>
      <c r="AE334" s="30">
        <v>11.5</v>
      </c>
      <c r="AF334" s="30">
        <v>16.100000000000001</v>
      </c>
      <c r="AG334" s="30">
        <v>18.600000000000001</v>
      </c>
      <c r="AH334" s="30">
        <v>14.6</v>
      </c>
      <c r="AI334" s="30">
        <v>7.7</v>
      </c>
      <c r="AJ334" s="30">
        <v>-1.2</v>
      </c>
      <c r="AK334" s="30">
        <v>-8.8000000000000007</v>
      </c>
      <c r="AL334" s="30">
        <v>4.0999999999999996</v>
      </c>
    </row>
    <row r="335" spans="1:38" x14ac:dyDescent="0.25">
      <c r="A335" s="31" t="s">
        <v>379</v>
      </c>
      <c r="B335" s="30">
        <v>-26</v>
      </c>
      <c r="C335" s="30">
        <v>-24</v>
      </c>
      <c r="D335" s="30">
        <v>-23</v>
      </c>
      <c r="E335" s="30">
        <v>-22</v>
      </c>
      <c r="F335" s="30">
        <v>-14</v>
      </c>
      <c r="G335" s="30">
        <v>-30</v>
      </c>
      <c r="H335" s="30">
        <v>9.4</v>
      </c>
      <c r="I335" s="30">
        <v>153</v>
      </c>
      <c r="J335" s="30">
        <v>-8.6999999999999993</v>
      </c>
      <c r="K335" s="30">
        <v>245</v>
      </c>
      <c r="L335" s="30">
        <v>-3.8</v>
      </c>
      <c r="M335" s="30">
        <v>266</v>
      </c>
      <c r="N335" s="30">
        <v>-2.7</v>
      </c>
      <c r="O335" s="30">
        <v>53</v>
      </c>
      <c r="P335" s="30">
        <v>47</v>
      </c>
      <c r="Q335" s="30">
        <v>76</v>
      </c>
      <c r="R335" s="30" t="s">
        <v>142</v>
      </c>
      <c r="S335" s="30" t="s">
        <v>41</v>
      </c>
      <c r="T335" s="30">
        <v>6.9</v>
      </c>
      <c r="U335" s="34">
        <v>4</v>
      </c>
      <c r="Y335" s="31" t="s">
        <v>379</v>
      </c>
      <c r="Z335" s="30">
        <v>-13.4</v>
      </c>
      <c r="AA335" s="30">
        <v>-10.9</v>
      </c>
      <c r="AB335" s="30">
        <v>-4.8</v>
      </c>
      <c r="AC335" s="30">
        <v>1.4</v>
      </c>
      <c r="AD335" s="30">
        <v>5.4</v>
      </c>
      <c r="AE335" s="30">
        <v>9.1</v>
      </c>
      <c r="AF335" s="30">
        <v>13.8</v>
      </c>
      <c r="AG335" s="30">
        <v>16.3</v>
      </c>
      <c r="AH335" s="30">
        <v>12.8</v>
      </c>
      <c r="AI335" s="30">
        <v>6.1</v>
      </c>
      <c r="AJ335" s="30">
        <v>-3.3</v>
      </c>
      <c r="AK335" s="30">
        <v>-11.2</v>
      </c>
      <c r="AL335" s="30">
        <v>1.8</v>
      </c>
    </row>
    <row r="336" spans="1:38" x14ac:dyDescent="0.25">
      <c r="A336" s="31" t="s">
        <v>378</v>
      </c>
      <c r="B336" s="30">
        <v>-36</v>
      </c>
      <c r="C336" s="30">
        <v>-35</v>
      </c>
      <c r="D336" s="30">
        <v>-33</v>
      </c>
      <c r="E336" s="30">
        <v>-32</v>
      </c>
      <c r="F336" s="30">
        <v>-26</v>
      </c>
      <c r="G336" s="30">
        <v>-47</v>
      </c>
      <c r="H336" s="30">
        <v>17.2</v>
      </c>
      <c r="I336" s="30">
        <v>158</v>
      </c>
      <c r="J336" s="30">
        <v>-12.9</v>
      </c>
      <c r="K336" s="30">
        <v>211</v>
      </c>
      <c r="L336" s="30">
        <v>-8.6</v>
      </c>
      <c r="M336" s="30">
        <v>227</v>
      </c>
      <c r="N336" s="30">
        <v>-7.3</v>
      </c>
      <c r="O336" s="30">
        <v>76</v>
      </c>
      <c r="P336" s="30">
        <v>65</v>
      </c>
      <c r="Q336" s="30">
        <v>129</v>
      </c>
      <c r="R336" s="30" t="s">
        <v>140</v>
      </c>
      <c r="S336" s="30" t="s">
        <v>41</v>
      </c>
      <c r="T336" s="30">
        <v>1.4</v>
      </c>
      <c r="U336" s="34">
        <v>4</v>
      </c>
      <c r="Y336" s="31" t="s">
        <v>378</v>
      </c>
      <c r="Z336" s="30">
        <v>-21.3</v>
      </c>
      <c r="AA336" s="30">
        <v>-17.3</v>
      </c>
      <c r="AB336" s="30">
        <v>-6.7</v>
      </c>
      <c r="AC336" s="30">
        <v>4.3</v>
      </c>
      <c r="AD336" s="30">
        <v>11.5</v>
      </c>
      <c r="AE336" s="30">
        <v>16.3</v>
      </c>
      <c r="AF336" s="30">
        <v>20.399999999999999</v>
      </c>
      <c r="AG336" s="30">
        <v>19.5</v>
      </c>
      <c r="AH336" s="30">
        <v>12.5</v>
      </c>
      <c r="AI336" s="30">
        <v>4.4000000000000004</v>
      </c>
      <c r="AJ336" s="30">
        <v>-7.2</v>
      </c>
      <c r="AK336" s="30">
        <v>-17.899999999999999</v>
      </c>
      <c r="AL336" s="30">
        <v>1.5</v>
      </c>
    </row>
    <row r="337" spans="1:38" x14ac:dyDescent="0.25">
      <c r="A337" s="33" t="s">
        <v>377</v>
      </c>
      <c r="B337" s="70"/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  <c r="U337" s="34"/>
      <c r="Y337" s="33" t="s">
        <v>377</v>
      </c>
      <c r="Z337" s="70"/>
      <c r="AA337" s="70"/>
      <c r="AB337" s="70"/>
      <c r="AC337" s="70"/>
      <c r="AD337" s="70"/>
      <c r="AE337" s="70"/>
      <c r="AF337" s="70"/>
      <c r="AG337" s="70"/>
      <c r="AH337" s="70"/>
      <c r="AI337" s="70"/>
      <c r="AJ337" s="70"/>
      <c r="AK337" s="70"/>
      <c r="AL337" s="70"/>
    </row>
    <row r="338" spans="1:38" x14ac:dyDescent="0.25">
      <c r="A338" s="31" t="s">
        <v>883</v>
      </c>
      <c r="B338" s="30">
        <v>-34</v>
      </c>
      <c r="C338" s="30">
        <v>-30</v>
      </c>
      <c r="D338" s="30">
        <v>-29</v>
      </c>
      <c r="E338" s="30">
        <v>-27</v>
      </c>
      <c r="F338" s="30">
        <v>-12</v>
      </c>
      <c r="G338" s="30">
        <v>-46</v>
      </c>
      <c r="H338" s="30">
        <v>6.3</v>
      </c>
      <c r="I338" s="30">
        <v>130</v>
      </c>
      <c r="J338" s="30">
        <v>-4.9000000000000004</v>
      </c>
      <c r="K338" s="30">
        <v>208</v>
      </c>
      <c r="L338" s="30">
        <v>-1.5</v>
      </c>
      <c r="M338" s="30">
        <v>228</v>
      </c>
      <c r="N338" s="30">
        <v>-0.6</v>
      </c>
      <c r="O338" s="30">
        <v>83</v>
      </c>
      <c r="P338" s="30">
        <v>81</v>
      </c>
      <c r="Q338" s="30">
        <v>174</v>
      </c>
      <c r="R338" s="30" t="s">
        <v>150</v>
      </c>
      <c r="S338" s="30">
        <v>4.2</v>
      </c>
      <c r="T338" s="30">
        <v>3.6</v>
      </c>
      <c r="U338" s="34">
        <v>0</v>
      </c>
      <c r="Y338" s="31" t="s">
        <v>376</v>
      </c>
      <c r="Z338" s="30">
        <v>-6.8</v>
      </c>
      <c r="AA338" s="30">
        <v>-6.5</v>
      </c>
      <c r="AB338" s="30">
        <v>-1.3</v>
      </c>
      <c r="AC338" s="30">
        <v>5.8</v>
      </c>
      <c r="AD338" s="30">
        <v>12.2</v>
      </c>
      <c r="AE338" s="30">
        <v>15.8</v>
      </c>
      <c r="AF338" s="30">
        <v>17.5</v>
      </c>
      <c r="AG338" s="30">
        <v>16</v>
      </c>
      <c r="AH338" s="30">
        <v>10.8</v>
      </c>
      <c r="AI338" s="30">
        <v>5.5</v>
      </c>
      <c r="AJ338" s="30">
        <v>-0.1</v>
      </c>
      <c r="AK338" s="30">
        <v>-4.5</v>
      </c>
      <c r="AL338" s="30">
        <v>5.4</v>
      </c>
    </row>
    <row r="339" spans="1:38" x14ac:dyDescent="0.25">
      <c r="A339" s="31" t="s">
        <v>884</v>
      </c>
      <c r="B339" s="30">
        <v>-35</v>
      </c>
      <c r="C339" s="30">
        <v>-29</v>
      </c>
      <c r="D339" s="30">
        <v>-28</v>
      </c>
      <c r="E339" s="30">
        <v>-26</v>
      </c>
      <c r="F339" s="30">
        <v>-10</v>
      </c>
      <c r="G339" s="30">
        <v>-41</v>
      </c>
      <c r="H339" s="30">
        <v>6.8</v>
      </c>
      <c r="I339" s="30">
        <v>130</v>
      </c>
      <c r="J339" s="30">
        <v>-4.5999999999999996</v>
      </c>
      <c r="K339" s="30">
        <v>208</v>
      </c>
      <c r="L339" s="30">
        <v>-1.3</v>
      </c>
      <c r="M339" s="30">
        <v>229</v>
      </c>
      <c r="N339" s="30">
        <v>-0.4</v>
      </c>
      <c r="O339" s="30">
        <v>83</v>
      </c>
      <c r="P339" s="30">
        <v>78</v>
      </c>
      <c r="Q339" s="30">
        <v>198</v>
      </c>
      <c r="R339" s="30" t="s">
        <v>150</v>
      </c>
      <c r="S339" s="30">
        <v>3.5</v>
      </c>
      <c r="T339" s="30">
        <v>3.3</v>
      </c>
      <c r="U339" s="34">
        <v>0</v>
      </c>
      <c r="Y339" s="31" t="s">
        <v>375</v>
      </c>
      <c r="Z339" s="30">
        <v>-6.3</v>
      </c>
      <c r="AA339" s="30">
        <v>-6.2</v>
      </c>
      <c r="AB339" s="30">
        <v>-1.3</v>
      </c>
      <c r="AC339" s="30">
        <v>5.5</v>
      </c>
      <c r="AD339" s="30">
        <v>12</v>
      </c>
      <c r="AE339" s="30">
        <v>15.9</v>
      </c>
      <c r="AF339" s="30">
        <v>17.8</v>
      </c>
      <c r="AG339" s="30">
        <v>16.2</v>
      </c>
      <c r="AH339" s="30">
        <v>10.9</v>
      </c>
      <c r="AI339" s="30">
        <v>5.6</v>
      </c>
      <c r="AJ339" s="30">
        <v>0.1</v>
      </c>
      <c r="AK339" s="30">
        <v>-4.0999999999999996</v>
      </c>
      <c r="AL339" s="30">
        <v>5.5</v>
      </c>
    </row>
    <row r="340" spans="1:38" x14ac:dyDescent="0.25">
      <c r="A340" s="33" t="s">
        <v>374</v>
      </c>
      <c r="B340" s="70"/>
      <c r="C340" s="70"/>
      <c r="D340" s="70"/>
      <c r="E340" s="70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  <c r="U340" s="34"/>
      <c r="Y340" s="33" t="s">
        <v>374</v>
      </c>
      <c r="Z340" s="70"/>
      <c r="AA340" s="70"/>
      <c r="AB340" s="70"/>
      <c r="AC340" s="70"/>
      <c r="AD340" s="70"/>
      <c r="AE340" s="70"/>
      <c r="AF340" s="70"/>
      <c r="AG340" s="70"/>
      <c r="AH340" s="70"/>
      <c r="AI340" s="70"/>
      <c r="AJ340" s="70"/>
      <c r="AK340" s="70"/>
      <c r="AL340" s="70"/>
    </row>
    <row r="341" spans="1:38" x14ac:dyDescent="0.25">
      <c r="A341" s="31" t="s">
        <v>885</v>
      </c>
      <c r="B341" s="30">
        <v>-27</v>
      </c>
      <c r="C341" s="30">
        <v>-25</v>
      </c>
      <c r="D341" s="30">
        <v>-23</v>
      </c>
      <c r="E341" s="30">
        <v>-21</v>
      </c>
      <c r="F341" s="30">
        <v>-11</v>
      </c>
      <c r="G341" s="30">
        <v>-36</v>
      </c>
      <c r="H341" s="30">
        <v>6.1</v>
      </c>
      <c r="I341" s="30">
        <v>118</v>
      </c>
      <c r="J341" s="30">
        <v>-4.5999999999999996</v>
      </c>
      <c r="K341" s="30">
        <v>179</v>
      </c>
      <c r="L341" s="30">
        <v>-1.7</v>
      </c>
      <c r="M341" s="30">
        <v>195</v>
      </c>
      <c r="N341" s="30">
        <v>-0.8</v>
      </c>
      <c r="O341" s="30">
        <v>83</v>
      </c>
      <c r="P341" s="30">
        <v>81</v>
      </c>
      <c r="Q341" s="30">
        <v>192</v>
      </c>
      <c r="R341" s="30" t="s">
        <v>146</v>
      </c>
      <c r="S341" s="30">
        <v>6.1</v>
      </c>
      <c r="T341" s="30">
        <v>4.3</v>
      </c>
      <c r="U341" s="34">
        <v>0</v>
      </c>
      <c r="Y341" s="31" t="s">
        <v>373</v>
      </c>
      <c r="Z341" s="30">
        <v>-6.3</v>
      </c>
      <c r="AA341" s="30">
        <v>-5.7</v>
      </c>
      <c r="AB341" s="30">
        <v>0</v>
      </c>
      <c r="AC341" s="30">
        <v>9.3000000000000007</v>
      </c>
      <c r="AD341" s="30">
        <v>15.7</v>
      </c>
      <c r="AE341" s="30">
        <v>19.7</v>
      </c>
      <c r="AF341" s="30">
        <v>21.8</v>
      </c>
      <c r="AG341" s="30">
        <v>20.9</v>
      </c>
      <c r="AH341" s="30">
        <v>15</v>
      </c>
      <c r="AI341" s="30">
        <v>7.8</v>
      </c>
      <c r="AJ341" s="30">
        <v>1.3</v>
      </c>
      <c r="AK341" s="30">
        <v>-3.8</v>
      </c>
      <c r="AL341" s="30">
        <v>8</v>
      </c>
    </row>
    <row r="342" spans="1:38" x14ac:dyDescent="0.25">
      <c r="A342" s="31" t="s">
        <v>886</v>
      </c>
      <c r="B342" s="30">
        <v>-25</v>
      </c>
      <c r="C342" s="30">
        <v>-23</v>
      </c>
      <c r="D342" s="30">
        <v>-22</v>
      </c>
      <c r="E342" s="30">
        <v>-19</v>
      </c>
      <c r="F342" s="30">
        <v>-9</v>
      </c>
      <c r="G342" s="30">
        <v>-33</v>
      </c>
      <c r="H342" s="30">
        <v>5.2</v>
      </c>
      <c r="I342" s="30">
        <v>97</v>
      </c>
      <c r="J342" s="30">
        <v>-2.8</v>
      </c>
      <c r="K342" s="30">
        <v>166</v>
      </c>
      <c r="L342" s="30">
        <v>-0.1</v>
      </c>
      <c r="M342" s="30">
        <v>182</v>
      </c>
      <c r="N342" s="30">
        <v>0.7</v>
      </c>
      <c r="O342" s="30">
        <v>82</v>
      </c>
      <c r="P342" s="30">
        <v>77</v>
      </c>
      <c r="Q342" s="30">
        <v>219</v>
      </c>
      <c r="R342" s="30" t="s">
        <v>146</v>
      </c>
      <c r="S342" s="30">
        <v>4.8</v>
      </c>
      <c r="T342" s="30" t="s">
        <v>41</v>
      </c>
      <c r="U342" s="34">
        <v>0</v>
      </c>
      <c r="Y342" s="31" t="s">
        <v>372</v>
      </c>
      <c r="Z342" s="30">
        <v>-3.8</v>
      </c>
      <c r="AA342" s="30">
        <v>-2.9</v>
      </c>
      <c r="AB342" s="30">
        <v>2.2000000000000002</v>
      </c>
      <c r="AC342" s="30">
        <v>10.8</v>
      </c>
      <c r="AD342" s="30">
        <v>16.8</v>
      </c>
      <c r="AE342" s="30">
        <v>20.8</v>
      </c>
      <c r="AF342" s="30">
        <v>23.2</v>
      </c>
      <c r="AG342" s="30">
        <v>22.3</v>
      </c>
      <c r="AH342" s="30">
        <v>16.600000000000001</v>
      </c>
      <c r="AI342" s="30">
        <v>9.6</v>
      </c>
      <c r="AJ342" s="30">
        <v>3.3</v>
      </c>
      <c r="AK342" s="30">
        <v>-1.5</v>
      </c>
      <c r="AL342" s="30">
        <v>9.8000000000000007</v>
      </c>
    </row>
    <row r="343" spans="1:38" x14ac:dyDescent="0.25">
      <c r="A343" s="31" t="s">
        <v>887</v>
      </c>
      <c r="B343" s="30">
        <v>-24</v>
      </c>
      <c r="C343" s="30">
        <v>-22</v>
      </c>
      <c r="D343" s="30">
        <v>-21</v>
      </c>
      <c r="E343" s="30">
        <v>-18</v>
      </c>
      <c r="F343" s="30">
        <v>-8</v>
      </c>
      <c r="G343" s="30">
        <v>-32</v>
      </c>
      <c r="H343" s="30">
        <v>5.0999999999999996</v>
      </c>
      <c r="I343" s="30">
        <v>97</v>
      </c>
      <c r="J343" s="30">
        <v>-2.6</v>
      </c>
      <c r="K343" s="30">
        <v>165</v>
      </c>
      <c r="L343" s="30">
        <v>0</v>
      </c>
      <c r="M343" s="30">
        <v>180</v>
      </c>
      <c r="N343" s="30">
        <v>0.8</v>
      </c>
      <c r="O343" s="30">
        <v>85</v>
      </c>
      <c r="P343" s="30">
        <v>82</v>
      </c>
      <c r="Q343" s="30">
        <v>232</v>
      </c>
      <c r="R343" s="30" t="s">
        <v>146</v>
      </c>
      <c r="S343" s="30">
        <v>4</v>
      </c>
      <c r="T343" s="30">
        <v>3.6</v>
      </c>
      <c r="U343" s="32">
        <v>0</v>
      </c>
      <c r="Y343" s="31" t="s">
        <v>371</v>
      </c>
      <c r="Z343" s="30">
        <v>-3.5</v>
      </c>
      <c r="AA343" s="30">
        <v>-3</v>
      </c>
      <c r="AB343" s="30">
        <v>2.1</v>
      </c>
      <c r="AC343" s="30">
        <v>10.7</v>
      </c>
      <c r="AD343" s="30">
        <v>17.100000000000001</v>
      </c>
      <c r="AE343" s="30">
        <v>21.2</v>
      </c>
      <c r="AF343" s="30">
        <v>23.6</v>
      </c>
      <c r="AG343" s="30">
        <v>22.8</v>
      </c>
      <c r="AH343" s="30">
        <v>17.2</v>
      </c>
      <c r="AI343" s="30">
        <v>10.199999999999999</v>
      </c>
      <c r="AJ343" s="30">
        <v>3.5</v>
      </c>
      <c r="AK343" s="30">
        <v>-1.2</v>
      </c>
      <c r="AL343" s="30">
        <v>10.1</v>
      </c>
    </row>
    <row r="344" spans="1:38" x14ac:dyDescent="0.25">
      <c r="A344" s="33" t="s">
        <v>370</v>
      </c>
      <c r="B344" s="70"/>
      <c r="C344" s="70"/>
      <c r="D344" s="70"/>
      <c r="E344" s="70"/>
      <c r="F344" s="70"/>
      <c r="G344" s="70"/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/>
      <c r="S344" s="70"/>
      <c r="T344" s="70"/>
      <c r="U344" s="34"/>
      <c r="Y344" s="33" t="s">
        <v>370</v>
      </c>
      <c r="Z344" s="70"/>
      <c r="AA344" s="70"/>
      <c r="AB344" s="70"/>
      <c r="AC344" s="70"/>
      <c r="AD344" s="70"/>
      <c r="AE344" s="70"/>
      <c r="AF344" s="70"/>
      <c r="AG344" s="70"/>
      <c r="AH344" s="70"/>
      <c r="AI344" s="70"/>
      <c r="AJ344" s="70"/>
      <c r="AK344" s="70"/>
      <c r="AL344" s="70"/>
    </row>
    <row r="345" spans="1:38" x14ac:dyDescent="0.25">
      <c r="A345" s="31" t="s">
        <v>369</v>
      </c>
      <c r="B345" s="30">
        <v>-36</v>
      </c>
      <c r="C345" s="30">
        <v>-33</v>
      </c>
      <c r="D345" s="30">
        <v>-30</v>
      </c>
      <c r="E345" s="30">
        <v>-27</v>
      </c>
      <c r="F345" s="30">
        <v>-16</v>
      </c>
      <c r="G345" s="30">
        <v>-41</v>
      </c>
      <c r="H345" s="30">
        <v>7</v>
      </c>
      <c r="I345" s="30">
        <v>145</v>
      </c>
      <c r="J345" s="30">
        <v>-6.8</v>
      </c>
      <c r="K345" s="30">
        <v>208</v>
      </c>
      <c r="L345" s="30">
        <v>-3.5</v>
      </c>
      <c r="M345" s="30">
        <v>224</v>
      </c>
      <c r="N345" s="30">
        <v>-2.6</v>
      </c>
      <c r="O345" s="30">
        <v>83</v>
      </c>
      <c r="P345" s="30">
        <v>84</v>
      </c>
      <c r="Q345" s="30">
        <v>172</v>
      </c>
      <c r="R345" s="30" t="s">
        <v>150</v>
      </c>
      <c r="S345" s="30">
        <v>7.3</v>
      </c>
      <c r="T345" s="30">
        <v>4.8</v>
      </c>
      <c r="U345" s="34">
        <v>0</v>
      </c>
      <c r="Y345" s="31" t="s">
        <v>369</v>
      </c>
      <c r="Z345" s="30">
        <v>-11</v>
      </c>
      <c r="AA345" s="30">
        <v>-10</v>
      </c>
      <c r="AB345" s="30">
        <v>-4.7</v>
      </c>
      <c r="AC345" s="30">
        <v>5.2</v>
      </c>
      <c r="AD345" s="30">
        <v>12.9</v>
      </c>
      <c r="AE345" s="30">
        <v>17.3</v>
      </c>
      <c r="AF345" s="30">
        <v>18.5</v>
      </c>
      <c r="AG345" s="30">
        <v>17.2</v>
      </c>
      <c r="AH345" s="30">
        <v>11.6</v>
      </c>
      <c r="AI345" s="30">
        <v>4.4000000000000004</v>
      </c>
      <c r="AJ345" s="30">
        <v>-2.2000000000000002</v>
      </c>
      <c r="AK345" s="30">
        <v>-7</v>
      </c>
      <c r="AL345" s="30">
        <v>4.3</v>
      </c>
    </row>
    <row r="346" spans="1:38" x14ac:dyDescent="0.25">
      <c r="A346" s="33" t="s">
        <v>368</v>
      </c>
      <c r="B346" s="70"/>
      <c r="C346" s="70"/>
      <c r="D346" s="70"/>
      <c r="E346" s="70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  <c r="U346" s="34"/>
      <c r="Y346" s="33" t="s">
        <v>368</v>
      </c>
      <c r="Z346" s="70"/>
      <c r="AA346" s="70"/>
      <c r="AB346" s="70"/>
      <c r="AC346" s="70"/>
      <c r="AD346" s="70"/>
      <c r="AE346" s="70"/>
      <c r="AF346" s="70"/>
      <c r="AG346" s="70"/>
      <c r="AH346" s="70"/>
      <c r="AI346" s="70"/>
      <c r="AJ346" s="70"/>
      <c r="AK346" s="70"/>
      <c r="AL346" s="70"/>
    </row>
    <row r="347" spans="1:38" x14ac:dyDescent="0.25">
      <c r="A347" s="31" t="s">
        <v>367</v>
      </c>
      <c r="B347" s="30">
        <v>-39</v>
      </c>
      <c r="C347" s="30">
        <v>-36</v>
      </c>
      <c r="D347" s="30">
        <v>-36</v>
      </c>
      <c r="E347" s="30">
        <v>-30</v>
      </c>
      <c r="F347" s="30">
        <v>-18</v>
      </c>
      <c r="G347" s="30">
        <v>-43</v>
      </c>
      <c r="H347" s="30">
        <v>6.7</v>
      </c>
      <c r="I347" s="30">
        <v>149</v>
      </c>
      <c r="J347" s="30">
        <v>-8.5</v>
      </c>
      <c r="K347" s="30">
        <v>203</v>
      </c>
      <c r="L347" s="30">
        <v>-5.2</v>
      </c>
      <c r="M347" s="30">
        <v>217</v>
      </c>
      <c r="N347" s="30">
        <v>-4.3</v>
      </c>
      <c r="O347" s="30">
        <v>84</v>
      </c>
      <c r="P347" s="30">
        <v>78</v>
      </c>
      <c r="Q347" s="30">
        <v>176</v>
      </c>
      <c r="R347" s="30" t="s">
        <v>185</v>
      </c>
      <c r="S347" s="30">
        <v>5.4</v>
      </c>
      <c r="T347" s="30">
        <v>4</v>
      </c>
      <c r="U347" s="32">
        <v>0</v>
      </c>
      <c r="Y347" s="31" t="s">
        <v>367</v>
      </c>
      <c r="Z347" s="30">
        <v>-13.5</v>
      </c>
      <c r="AA347" s="30">
        <v>-12.6</v>
      </c>
      <c r="AB347" s="30">
        <v>-5.8</v>
      </c>
      <c r="AC347" s="30">
        <v>5.8</v>
      </c>
      <c r="AD347" s="30">
        <v>14.3</v>
      </c>
      <c r="AE347" s="30">
        <v>18.600000000000001</v>
      </c>
      <c r="AF347" s="30">
        <v>20.399999999999999</v>
      </c>
      <c r="AG347" s="30">
        <v>19</v>
      </c>
      <c r="AH347" s="30">
        <v>12.8</v>
      </c>
      <c r="AI347" s="30">
        <v>4.2</v>
      </c>
      <c r="AJ347" s="30">
        <v>-3.4</v>
      </c>
      <c r="AK347" s="30">
        <v>-9.6</v>
      </c>
      <c r="AL347" s="30">
        <v>4.2</v>
      </c>
    </row>
    <row r="348" spans="1:38" x14ac:dyDescent="0.25">
      <c r="A348" s="33" t="s">
        <v>366</v>
      </c>
      <c r="B348" s="70"/>
      <c r="C348" s="70"/>
      <c r="D348" s="70"/>
      <c r="E348" s="70"/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  <c r="U348" s="34"/>
      <c r="Y348" s="33" t="s">
        <v>366</v>
      </c>
      <c r="Z348" s="70"/>
      <c r="AA348" s="70"/>
      <c r="AB348" s="70"/>
      <c r="AC348" s="70"/>
      <c r="AD348" s="70"/>
      <c r="AE348" s="70"/>
      <c r="AF348" s="70"/>
      <c r="AG348" s="70"/>
      <c r="AH348" s="70"/>
      <c r="AI348" s="70"/>
      <c r="AJ348" s="70"/>
      <c r="AK348" s="70"/>
      <c r="AL348" s="70"/>
    </row>
    <row r="349" spans="1:38" x14ac:dyDescent="0.25">
      <c r="A349" s="31" t="s">
        <v>365</v>
      </c>
      <c r="B349" s="30">
        <v>-31</v>
      </c>
      <c r="C349" s="30">
        <v>-30</v>
      </c>
      <c r="D349" s="30">
        <v>-29</v>
      </c>
      <c r="E349" s="30">
        <v>-28</v>
      </c>
      <c r="F349" s="30">
        <v>-17</v>
      </c>
      <c r="G349" s="30">
        <v>-40</v>
      </c>
      <c r="H349" s="30">
        <v>8.3000000000000007</v>
      </c>
      <c r="I349" s="30">
        <v>141</v>
      </c>
      <c r="J349" s="30">
        <v>-8.3000000000000007</v>
      </c>
      <c r="K349" s="30">
        <v>191</v>
      </c>
      <c r="L349" s="30">
        <v>-5.2</v>
      </c>
      <c r="M349" s="30">
        <v>204</v>
      </c>
      <c r="N349" s="30">
        <v>-4.2</v>
      </c>
      <c r="O349" s="30">
        <v>82</v>
      </c>
      <c r="P349" s="30">
        <v>79</v>
      </c>
      <c r="Q349" s="30">
        <v>127</v>
      </c>
      <c r="R349" s="30" t="s">
        <v>146</v>
      </c>
      <c r="S349" s="30" t="s">
        <v>41</v>
      </c>
      <c r="T349" s="30">
        <v>4.9000000000000004</v>
      </c>
      <c r="U349" s="34">
        <v>0</v>
      </c>
      <c r="Y349" s="31" t="s">
        <v>365</v>
      </c>
      <c r="Z349" s="30">
        <v>-12.7</v>
      </c>
      <c r="AA349" s="30">
        <v>-12.1</v>
      </c>
      <c r="AB349" s="30">
        <v>-4.9000000000000004</v>
      </c>
      <c r="AC349" s="30">
        <v>7.9</v>
      </c>
      <c r="AD349" s="30">
        <v>16.3</v>
      </c>
      <c r="AE349" s="30">
        <v>21</v>
      </c>
      <c r="AF349" s="30">
        <v>23.6</v>
      </c>
      <c r="AG349" s="30">
        <v>22</v>
      </c>
      <c r="AH349" s="30">
        <v>14.9</v>
      </c>
      <c r="AI349" s="30">
        <v>6.1</v>
      </c>
      <c r="AJ349" s="30">
        <v>-1.7</v>
      </c>
      <c r="AK349" s="30">
        <v>-8.3000000000000007</v>
      </c>
      <c r="AL349" s="30">
        <v>6</v>
      </c>
    </row>
    <row r="350" spans="1:38" x14ac:dyDescent="0.25">
      <c r="A350" s="31" t="s">
        <v>364</v>
      </c>
      <c r="B350" s="30">
        <v>-34</v>
      </c>
      <c r="C350" s="30">
        <v>-33</v>
      </c>
      <c r="D350" s="30">
        <v>-32</v>
      </c>
      <c r="E350" s="30">
        <v>-29</v>
      </c>
      <c r="F350" s="30">
        <v>-16</v>
      </c>
      <c r="G350" s="30">
        <v>-38</v>
      </c>
      <c r="H350" s="30">
        <v>6.5</v>
      </c>
      <c r="I350" s="30">
        <v>142</v>
      </c>
      <c r="J350" s="30">
        <v>-7.4</v>
      </c>
      <c r="K350" s="30">
        <v>199</v>
      </c>
      <c r="L350" s="30">
        <v>-4.2</v>
      </c>
      <c r="M350" s="30">
        <v>213</v>
      </c>
      <c r="N350" s="30">
        <v>-3.2</v>
      </c>
      <c r="O350" s="30">
        <v>84</v>
      </c>
      <c r="P350" s="30">
        <v>82</v>
      </c>
      <c r="Q350" s="30">
        <v>171</v>
      </c>
      <c r="R350" s="30" t="s">
        <v>185</v>
      </c>
      <c r="S350" s="30">
        <v>7.3</v>
      </c>
      <c r="T350" s="30">
        <v>5.0999999999999996</v>
      </c>
      <c r="U350" s="34">
        <v>0</v>
      </c>
      <c r="Y350" s="31" t="s">
        <v>364</v>
      </c>
      <c r="Z350" s="30">
        <v>-10.6</v>
      </c>
      <c r="AA350" s="30">
        <v>-10.4</v>
      </c>
      <c r="AB350" s="30">
        <v>-4.5999999999999996</v>
      </c>
      <c r="AC350" s="30">
        <v>6.3</v>
      </c>
      <c r="AD350" s="30">
        <v>14.5</v>
      </c>
      <c r="AE350" s="30">
        <v>18.600000000000001</v>
      </c>
      <c r="AF350" s="30">
        <v>20.6</v>
      </c>
      <c r="AG350" s="30">
        <v>19.2</v>
      </c>
      <c r="AH350" s="30">
        <v>12.9</v>
      </c>
      <c r="AI350" s="30">
        <v>5.2</v>
      </c>
      <c r="AJ350" s="30">
        <v>-1.5</v>
      </c>
      <c r="AK350" s="30">
        <v>-7.6</v>
      </c>
      <c r="AL350" s="30">
        <v>5.2</v>
      </c>
    </row>
    <row r="351" spans="1:38" x14ac:dyDescent="0.25">
      <c r="A351" s="31" t="s">
        <v>888</v>
      </c>
      <c r="B351" s="30">
        <v>-32</v>
      </c>
      <c r="C351" s="30">
        <v>-28</v>
      </c>
      <c r="D351" s="30">
        <v>-29</v>
      </c>
      <c r="E351" s="30">
        <v>-25</v>
      </c>
      <c r="F351" s="30">
        <v>-14</v>
      </c>
      <c r="G351" s="30">
        <v>-37</v>
      </c>
      <c r="H351" s="30">
        <v>5.9</v>
      </c>
      <c r="I351" s="30">
        <v>134</v>
      </c>
      <c r="J351" s="30">
        <v>-6.5</v>
      </c>
      <c r="K351" s="30">
        <v>188</v>
      </c>
      <c r="L351" s="30">
        <v>-3.5</v>
      </c>
      <c r="M351" s="30">
        <v>202</v>
      </c>
      <c r="N351" s="30">
        <v>-2.6</v>
      </c>
      <c r="O351" s="30">
        <v>80</v>
      </c>
      <c r="P351" s="30">
        <v>80</v>
      </c>
      <c r="Q351" s="30">
        <v>183</v>
      </c>
      <c r="R351" s="30" t="s">
        <v>140</v>
      </c>
      <c r="S351" s="30">
        <v>4.4000000000000004</v>
      </c>
      <c r="T351" s="30">
        <v>3.3</v>
      </c>
      <c r="U351" s="34">
        <v>0</v>
      </c>
      <c r="Y351" s="31" t="s">
        <v>363</v>
      </c>
      <c r="Z351" s="30">
        <v>-8.6999999999999993</v>
      </c>
      <c r="AA351" s="30">
        <v>-8.4</v>
      </c>
      <c r="AB351" s="30">
        <v>-2.5</v>
      </c>
      <c r="AC351" s="30">
        <v>8.4</v>
      </c>
      <c r="AD351" s="30">
        <v>15.9</v>
      </c>
      <c r="AE351" s="30">
        <v>20.2</v>
      </c>
      <c r="AF351" s="30">
        <v>22.3</v>
      </c>
      <c r="AG351" s="30">
        <v>20.6</v>
      </c>
      <c r="AH351" s="30">
        <v>14.3</v>
      </c>
      <c r="AI351" s="30">
        <v>6.7</v>
      </c>
      <c r="AJ351" s="30">
        <v>-0.6</v>
      </c>
      <c r="AK351" s="30">
        <v>-6.4</v>
      </c>
      <c r="AL351" s="30">
        <v>6.8</v>
      </c>
    </row>
    <row r="352" spans="1:38" ht="25.5" x14ac:dyDescent="0.25">
      <c r="A352" s="33" t="s">
        <v>362</v>
      </c>
      <c r="B352" s="70"/>
      <c r="C352" s="70"/>
      <c r="D352" s="70"/>
      <c r="E352" s="70"/>
      <c r="F352" s="70"/>
      <c r="G352" s="70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  <c r="S352" s="70"/>
      <c r="T352" s="70"/>
      <c r="U352" s="34"/>
      <c r="Y352" s="33" t="s">
        <v>362</v>
      </c>
      <c r="Z352" s="70"/>
      <c r="AA352" s="70"/>
      <c r="AB352" s="70"/>
      <c r="AC352" s="70"/>
      <c r="AD352" s="70"/>
      <c r="AE352" s="70"/>
      <c r="AF352" s="70"/>
      <c r="AG352" s="70"/>
      <c r="AH352" s="70"/>
      <c r="AI352" s="70"/>
      <c r="AJ352" s="70"/>
      <c r="AK352" s="70"/>
      <c r="AL352" s="70"/>
    </row>
    <row r="353" spans="1:38" ht="25.5" x14ac:dyDescent="0.25">
      <c r="A353" s="31" t="s">
        <v>889</v>
      </c>
      <c r="B353" s="30">
        <v>-31</v>
      </c>
      <c r="C353" s="30">
        <v>-29</v>
      </c>
      <c r="D353" s="30">
        <v>-28</v>
      </c>
      <c r="E353" s="30">
        <v>-27</v>
      </c>
      <c r="F353" s="30">
        <v>-21</v>
      </c>
      <c r="G353" s="30">
        <v>-41</v>
      </c>
      <c r="H353" s="30">
        <v>8.4</v>
      </c>
      <c r="I353" s="30">
        <v>167</v>
      </c>
      <c r="J353" s="30">
        <v>-10.9</v>
      </c>
      <c r="K353" s="30">
        <v>237</v>
      </c>
      <c r="L353" s="30">
        <v>-6.4</v>
      </c>
      <c r="M353" s="30">
        <v>257</v>
      </c>
      <c r="N353" s="30">
        <v>-5.2</v>
      </c>
      <c r="O353" s="30">
        <v>79</v>
      </c>
      <c r="P353" s="30">
        <v>73</v>
      </c>
      <c r="Q353" s="30">
        <v>189</v>
      </c>
      <c r="R353" s="30" t="s">
        <v>185</v>
      </c>
      <c r="S353" s="30">
        <v>5.9</v>
      </c>
      <c r="T353" s="30">
        <v>4.5999999999999996</v>
      </c>
      <c r="U353" s="34">
        <v>4</v>
      </c>
      <c r="V353" s="35">
        <v>5</v>
      </c>
      <c r="Y353" s="31" t="s">
        <v>361</v>
      </c>
      <c r="Z353" s="30">
        <v>-16.899999999999999</v>
      </c>
      <c r="AA353" s="30">
        <v>-15</v>
      </c>
      <c r="AB353" s="30">
        <v>-8.1</v>
      </c>
      <c r="AC353" s="30">
        <v>0.1</v>
      </c>
      <c r="AD353" s="30">
        <v>5.9</v>
      </c>
      <c r="AE353" s="30">
        <v>11.1</v>
      </c>
      <c r="AF353" s="30">
        <v>15.2</v>
      </c>
      <c r="AG353" s="30">
        <v>16.3</v>
      </c>
      <c r="AH353" s="30">
        <v>12.1</v>
      </c>
      <c r="AI353" s="30">
        <v>4.8</v>
      </c>
      <c r="AJ353" s="30">
        <v>-4.5999999999999996</v>
      </c>
      <c r="AK353" s="30">
        <v>-12.6</v>
      </c>
      <c r="AL353" s="30">
        <v>0.7</v>
      </c>
    </row>
    <row r="354" spans="1:38" x14ac:dyDescent="0.25">
      <c r="A354" s="31" t="s">
        <v>360</v>
      </c>
      <c r="B354" s="30">
        <v>-29</v>
      </c>
      <c r="C354" s="30">
        <v>-27</v>
      </c>
      <c r="D354" s="30">
        <v>-25</v>
      </c>
      <c r="E354" s="30">
        <v>-24</v>
      </c>
      <c r="F354" s="30">
        <v>-18</v>
      </c>
      <c r="G354" s="30">
        <v>-35</v>
      </c>
      <c r="H354" s="30">
        <v>10.1</v>
      </c>
      <c r="I354" s="30">
        <v>154</v>
      </c>
      <c r="J354" s="30">
        <v>-8.1</v>
      </c>
      <c r="K354" s="30">
        <v>231</v>
      </c>
      <c r="L354" s="30">
        <v>-4</v>
      </c>
      <c r="M354" s="30">
        <v>253</v>
      </c>
      <c r="N354" s="30">
        <v>-2.9</v>
      </c>
      <c r="O354" s="30">
        <v>78</v>
      </c>
      <c r="P354" s="30">
        <v>67</v>
      </c>
      <c r="Q354" s="30">
        <v>348</v>
      </c>
      <c r="R354" s="30" t="s">
        <v>150</v>
      </c>
      <c r="S354" s="30">
        <v>5.6</v>
      </c>
      <c r="T354" s="30">
        <v>3.8</v>
      </c>
      <c r="U354" s="34">
        <v>4</v>
      </c>
      <c r="V354" s="35">
        <v>5</v>
      </c>
      <c r="Y354" s="31" t="s">
        <v>360</v>
      </c>
      <c r="Z354" s="30">
        <v>-13.5</v>
      </c>
      <c r="AA354" s="30">
        <v>-12.4</v>
      </c>
      <c r="AB354" s="30">
        <v>-6.5</v>
      </c>
      <c r="AC354" s="30">
        <v>0.9</v>
      </c>
      <c r="AD354" s="30">
        <v>6.2</v>
      </c>
      <c r="AE354" s="30">
        <v>10.9</v>
      </c>
      <c r="AF354" s="30">
        <v>15.3</v>
      </c>
      <c r="AG354" s="30">
        <v>16.899999999999999</v>
      </c>
      <c r="AH354" s="30">
        <v>13.1</v>
      </c>
      <c r="AI354" s="30">
        <v>6.4</v>
      </c>
      <c r="AJ354" s="30">
        <v>-1.9</v>
      </c>
      <c r="AK354" s="30">
        <v>-8.6</v>
      </c>
      <c r="AL354" s="30">
        <v>2.2000000000000002</v>
      </c>
    </row>
    <row r="355" spans="1:38" x14ac:dyDescent="0.25">
      <c r="A355" s="31" t="s">
        <v>359</v>
      </c>
      <c r="B355" s="30">
        <v>-40</v>
      </c>
      <c r="C355" s="30">
        <v>-39</v>
      </c>
      <c r="D355" s="30">
        <v>-38</v>
      </c>
      <c r="E355" s="30">
        <v>-36</v>
      </c>
      <c r="F355" s="30">
        <v>-29</v>
      </c>
      <c r="G355" s="30">
        <v>-48</v>
      </c>
      <c r="H355" s="30">
        <v>14.4</v>
      </c>
      <c r="I355" s="30">
        <v>183</v>
      </c>
      <c r="J355" s="30">
        <v>-13.9</v>
      </c>
      <c r="K355" s="30">
        <v>246</v>
      </c>
      <c r="L355" s="30">
        <v>-9.1999999999999993</v>
      </c>
      <c r="M355" s="30">
        <v>263</v>
      </c>
      <c r="N355" s="30">
        <v>-8</v>
      </c>
      <c r="O355" s="30">
        <v>79</v>
      </c>
      <c r="P355" s="30">
        <v>77</v>
      </c>
      <c r="Q355" s="30">
        <v>172</v>
      </c>
      <c r="R355" s="30" t="s">
        <v>140</v>
      </c>
      <c r="S355" s="30">
        <v>5.7</v>
      </c>
      <c r="T355" s="30">
        <v>2.7</v>
      </c>
      <c r="U355" s="34">
        <v>4</v>
      </c>
      <c r="V355" s="35">
        <v>5</v>
      </c>
      <c r="Y355" s="31" t="s">
        <v>359</v>
      </c>
      <c r="Z355" s="30">
        <v>-23.6</v>
      </c>
      <c r="AA355" s="30">
        <v>-19.7</v>
      </c>
      <c r="AB355" s="30">
        <v>-12</v>
      </c>
      <c r="AC355" s="30">
        <v>-1.7</v>
      </c>
      <c r="AD355" s="30">
        <v>5.6</v>
      </c>
      <c r="AE355" s="30">
        <v>11.7</v>
      </c>
      <c r="AF355" s="30">
        <v>15.6</v>
      </c>
      <c r="AG355" s="30">
        <v>15.5</v>
      </c>
      <c r="AH355" s="30">
        <v>10.4</v>
      </c>
      <c r="AI355" s="30">
        <v>2.1</v>
      </c>
      <c r="AJ355" s="30">
        <v>-9.1</v>
      </c>
      <c r="AK355" s="30">
        <v>-19.3</v>
      </c>
      <c r="AL355" s="30">
        <v>-2</v>
      </c>
    </row>
    <row r="356" spans="1:38" x14ac:dyDescent="0.25">
      <c r="A356" s="31" t="s">
        <v>358</v>
      </c>
      <c r="B356" s="30">
        <v>-25</v>
      </c>
      <c r="C356" s="30">
        <v>-23</v>
      </c>
      <c r="D356" s="30">
        <v>-23</v>
      </c>
      <c r="E356" s="30">
        <v>-20</v>
      </c>
      <c r="F356" s="30">
        <v>-16</v>
      </c>
      <c r="G356" s="30">
        <v>-33</v>
      </c>
      <c r="H356" s="30">
        <v>8</v>
      </c>
      <c r="I356" s="30">
        <v>147</v>
      </c>
      <c r="J356" s="30">
        <v>-6.7</v>
      </c>
      <c r="K356" s="30">
        <v>232</v>
      </c>
      <c r="L356" s="30">
        <v>-2.7</v>
      </c>
      <c r="M356" s="30">
        <v>255</v>
      </c>
      <c r="N356" s="30">
        <v>-1.9</v>
      </c>
      <c r="O356" s="30">
        <v>76</v>
      </c>
      <c r="P356" s="30">
        <v>66</v>
      </c>
      <c r="Q356" s="30">
        <v>223</v>
      </c>
      <c r="R356" s="30" t="s">
        <v>165</v>
      </c>
      <c r="S356" s="30">
        <v>5.6</v>
      </c>
      <c r="T356" s="30">
        <v>4.7</v>
      </c>
      <c r="U356" s="34">
        <v>4</v>
      </c>
      <c r="V356" s="35">
        <v>5</v>
      </c>
      <c r="Y356" s="31" t="s">
        <v>358</v>
      </c>
      <c r="Z356" s="30">
        <v>-10.7</v>
      </c>
      <c r="AA356" s="30">
        <v>-10.1</v>
      </c>
      <c r="AB356" s="30">
        <v>-5.3</v>
      </c>
      <c r="AC356" s="30">
        <v>1.2</v>
      </c>
      <c r="AD356" s="30">
        <v>5.6</v>
      </c>
      <c r="AE356" s="30">
        <v>10</v>
      </c>
      <c r="AF356" s="30">
        <v>14.5</v>
      </c>
      <c r="AG356" s="30">
        <v>16.899999999999999</v>
      </c>
      <c r="AH356" s="30">
        <v>13.7</v>
      </c>
      <c r="AI356" s="30">
        <v>7.4</v>
      </c>
      <c r="AJ356" s="30">
        <v>-0.4</v>
      </c>
      <c r="AK356" s="30">
        <v>-6.8</v>
      </c>
      <c r="AL356" s="30">
        <v>3</v>
      </c>
    </row>
    <row r="357" spans="1:38" x14ac:dyDescent="0.25">
      <c r="A357" s="31" t="s">
        <v>890</v>
      </c>
      <c r="B357" s="30">
        <v>-20</v>
      </c>
      <c r="C357" s="30">
        <v>-16</v>
      </c>
      <c r="D357" s="30">
        <v>-18</v>
      </c>
      <c r="E357" s="30">
        <v>-15</v>
      </c>
      <c r="F357" s="30">
        <v>-10</v>
      </c>
      <c r="G357" s="30">
        <v>-27</v>
      </c>
      <c r="H357" s="30">
        <v>6.4</v>
      </c>
      <c r="I357" s="30">
        <v>126</v>
      </c>
      <c r="J357" s="30">
        <v>-3.9</v>
      </c>
      <c r="K357" s="30">
        <v>223</v>
      </c>
      <c r="L357" s="30">
        <v>-0.4</v>
      </c>
      <c r="M357" s="30">
        <v>253</v>
      </c>
      <c r="N357" s="30">
        <v>0.7</v>
      </c>
      <c r="O357" s="30">
        <v>82</v>
      </c>
      <c r="P357" s="30">
        <v>79</v>
      </c>
      <c r="Q357" s="30">
        <v>466</v>
      </c>
      <c r="R357" s="30" t="s">
        <v>140</v>
      </c>
      <c r="S357" s="30">
        <v>9.5</v>
      </c>
      <c r="T357" s="30">
        <v>6.3</v>
      </c>
      <c r="U357" s="34">
        <v>4</v>
      </c>
      <c r="V357" s="35">
        <v>5</v>
      </c>
      <c r="Y357" s="31" t="s">
        <v>357</v>
      </c>
      <c r="Z357" s="30">
        <v>-4.5999999999999996</v>
      </c>
      <c r="AA357" s="30">
        <v>-6.1</v>
      </c>
      <c r="AB357" s="30">
        <v>-3.6</v>
      </c>
      <c r="AC357" s="30">
        <v>1.5</v>
      </c>
      <c r="AD357" s="30">
        <v>6</v>
      </c>
      <c r="AE357" s="30">
        <v>9.5</v>
      </c>
      <c r="AF357" s="30">
        <v>13.3</v>
      </c>
      <c r="AG357" s="30">
        <v>15.7</v>
      </c>
      <c r="AH357" s="30">
        <v>13.5</v>
      </c>
      <c r="AI357" s="30">
        <v>9.1999999999999993</v>
      </c>
      <c r="AJ357" s="30">
        <v>3.6</v>
      </c>
      <c r="AK357" s="30">
        <v>-1.4</v>
      </c>
      <c r="AL357" s="30">
        <v>4.7</v>
      </c>
    </row>
    <row r="358" spans="1:38" x14ac:dyDescent="0.25">
      <c r="A358" s="31" t="s">
        <v>356</v>
      </c>
      <c r="B358" s="30">
        <v>-27</v>
      </c>
      <c r="C358" s="30">
        <v>-26</v>
      </c>
      <c r="D358" s="30">
        <v>-24</v>
      </c>
      <c r="E358" s="30">
        <v>-23</v>
      </c>
      <c r="F358" s="30">
        <v>-19</v>
      </c>
      <c r="G358" s="30">
        <v>-32</v>
      </c>
      <c r="H358" s="30">
        <v>8.6</v>
      </c>
      <c r="I358" s="30">
        <v>158</v>
      </c>
      <c r="J358" s="30">
        <v>-8.6</v>
      </c>
      <c r="K358" s="30">
        <v>241</v>
      </c>
      <c r="L358" s="30">
        <v>-4.2</v>
      </c>
      <c r="M358" s="30">
        <v>264</v>
      </c>
      <c r="N358" s="30">
        <v>-3</v>
      </c>
      <c r="O358" s="30">
        <v>66</v>
      </c>
      <c r="P358" s="30">
        <v>59</v>
      </c>
      <c r="Q358" s="30">
        <v>212</v>
      </c>
      <c r="R358" s="30" t="s">
        <v>140</v>
      </c>
      <c r="S358" s="30" t="s">
        <v>41</v>
      </c>
      <c r="T358" s="30">
        <v>3.4</v>
      </c>
      <c r="U358" s="34">
        <v>4</v>
      </c>
      <c r="V358" s="35">
        <v>5</v>
      </c>
      <c r="Y358" s="31" t="s">
        <v>356</v>
      </c>
      <c r="Z358" s="30">
        <v>-14.3</v>
      </c>
      <c r="AA358" s="30">
        <v>-12.3</v>
      </c>
      <c r="AB358" s="30">
        <v>-6.7</v>
      </c>
      <c r="AC358" s="30">
        <v>0.9</v>
      </c>
      <c r="AD358" s="30">
        <v>5.3</v>
      </c>
      <c r="AE358" s="30">
        <v>9.5</v>
      </c>
      <c r="AF358" s="30">
        <v>13.8</v>
      </c>
      <c r="AG358" s="30">
        <v>15.7</v>
      </c>
      <c r="AH358" s="30">
        <v>12.8</v>
      </c>
      <c r="AI358" s="30">
        <v>6</v>
      </c>
      <c r="AJ358" s="30">
        <v>-3</v>
      </c>
      <c r="AK358" s="30">
        <v>-10.199999999999999</v>
      </c>
      <c r="AL358" s="30">
        <v>1.6</v>
      </c>
    </row>
    <row r="359" spans="1:38" x14ac:dyDescent="0.25">
      <c r="A359" s="31" t="s">
        <v>891</v>
      </c>
      <c r="B359" s="30">
        <v>-20</v>
      </c>
      <c r="C359" s="30">
        <v>-18</v>
      </c>
      <c r="D359" s="30">
        <v>-17</v>
      </c>
      <c r="E359" s="30">
        <v>-16</v>
      </c>
      <c r="F359" s="30">
        <v>-12</v>
      </c>
      <c r="G359" s="30">
        <v>-25</v>
      </c>
      <c r="H359" s="30">
        <v>4.8</v>
      </c>
      <c r="I359" s="30">
        <v>140</v>
      </c>
      <c r="J359" s="30">
        <v>-5.6</v>
      </c>
      <c r="K359" s="30">
        <v>219</v>
      </c>
      <c r="L359" s="30">
        <v>-2.1</v>
      </c>
      <c r="M359" s="30">
        <v>241</v>
      </c>
      <c r="N359" s="30">
        <v>-1.1000000000000001</v>
      </c>
      <c r="O359" s="30">
        <v>74</v>
      </c>
      <c r="P359" s="30">
        <v>72</v>
      </c>
      <c r="Q359" s="30">
        <v>332</v>
      </c>
      <c r="R359" s="30" t="s">
        <v>165</v>
      </c>
      <c r="S359" s="30">
        <v>7.4</v>
      </c>
      <c r="T359" s="30">
        <v>6.7</v>
      </c>
      <c r="U359" s="34">
        <v>4</v>
      </c>
      <c r="V359" s="35">
        <v>5</v>
      </c>
      <c r="Y359" s="31" t="s">
        <v>355</v>
      </c>
      <c r="Z359" s="30">
        <v>-8.1999999999999993</v>
      </c>
      <c r="AA359" s="30">
        <v>-7.7</v>
      </c>
      <c r="AB359" s="30">
        <v>-3.4</v>
      </c>
      <c r="AC359" s="30">
        <v>2.4</v>
      </c>
      <c r="AD359" s="30">
        <v>7.1</v>
      </c>
      <c r="AE359" s="30">
        <v>11.3</v>
      </c>
      <c r="AF359" s="30">
        <v>15.5</v>
      </c>
      <c r="AG359" s="30">
        <v>17.399999999999999</v>
      </c>
      <c r="AH359" s="30">
        <v>14.4</v>
      </c>
      <c r="AI359" s="30">
        <v>8.3000000000000007</v>
      </c>
      <c r="AJ359" s="30">
        <v>0.6</v>
      </c>
      <c r="AK359" s="30">
        <v>-5.2</v>
      </c>
      <c r="AL359" s="30">
        <v>4.4000000000000004</v>
      </c>
    </row>
    <row r="360" spans="1:38" x14ac:dyDescent="0.25">
      <c r="A360" s="31" t="s">
        <v>892</v>
      </c>
      <c r="B360" s="30">
        <v>-32</v>
      </c>
      <c r="C360" s="30">
        <v>-32</v>
      </c>
      <c r="D360" s="30">
        <v>-30</v>
      </c>
      <c r="E360" s="30">
        <v>-30</v>
      </c>
      <c r="F360" s="30">
        <v>-23</v>
      </c>
      <c r="G360" s="30">
        <v>-48</v>
      </c>
      <c r="H360" s="30">
        <v>8.9</v>
      </c>
      <c r="I360" s="30">
        <v>182</v>
      </c>
      <c r="J360" s="30">
        <v>-11.7</v>
      </c>
      <c r="K360" s="30">
        <v>254</v>
      </c>
      <c r="L360" s="30">
        <v>-7.2</v>
      </c>
      <c r="M360" s="30">
        <v>274</v>
      </c>
      <c r="N360" s="30">
        <v>-6</v>
      </c>
      <c r="O360" s="30">
        <v>76</v>
      </c>
      <c r="P360" s="30">
        <v>69</v>
      </c>
      <c r="Q360" s="30">
        <v>188</v>
      </c>
      <c r="R360" s="30" t="s">
        <v>142</v>
      </c>
      <c r="S360" s="30">
        <v>5.3</v>
      </c>
      <c r="T360" s="30">
        <v>4.2</v>
      </c>
      <c r="U360" s="34">
        <v>4</v>
      </c>
      <c r="V360" s="35">
        <v>5</v>
      </c>
      <c r="Y360" s="31" t="s">
        <v>354</v>
      </c>
      <c r="Z360" s="30">
        <v>-18</v>
      </c>
      <c r="AA360" s="30">
        <v>-15.9</v>
      </c>
      <c r="AB360" s="30">
        <v>-9.6</v>
      </c>
      <c r="AC360" s="30">
        <v>-1.7</v>
      </c>
      <c r="AD360" s="30">
        <v>3.6</v>
      </c>
      <c r="AE360" s="30">
        <v>9.3000000000000007</v>
      </c>
      <c r="AF360" s="30">
        <v>13.1</v>
      </c>
      <c r="AG360" s="30">
        <v>14.5</v>
      </c>
      <c r="AH360" s="30">
        <v>10.7</v>
      </c>
      <c r="AI360" s="30">
        <v>3.2</v>
      </c>
      <c r="AJ360" s="30">
        <v>-7.2</v>
      </c>
      <c r="AK360" s="30">
        <v>-15.3</v>
      </c>
      <c r="AL360" s="30">
        <v>-1.1000000000000001</v>
      </c>
    </row>
    <row r="361" spans="1:38" x14ac:dyDescent="0.25">
      <c r="A361" s="31" t="s">
        <v>353</v>
      </c>
      <c r="B361" s="30">
        <v>-34</v>
      </c>
      <c r="C361" s="30">
        <v>-32</v>
      </c>
      <c r="D361" s="30">
        <v>-31</v>
      </c>
      <c r="E361" s="30">
        <v>-29</v>
      </c>
      <c r="F361" s="30">
        <v>-25</v>
      </c>
      <c r="G361" s="30">
        <v>-39</v>
      </c>
      <c r="H361" s="30">
        <v>6.8</v>
      </c>
      <c r="I361" s="30">
        <v>194</v>
      </c>
      <c r="J361" s="30">
        <v>-11.5</v>
      </c>
      <c r="K361" s="30">
        <v>266</v>
      </c>
      <c r="L361" s="30">
        <v>-7.3</v>
      </c>
      <c r="M361" s="30">
        <v>286</v>
      </c>
      <c r="N361" s="30">
        <v>-6.1</v>
      </c>
      <c r="O361" s="30">
        <v>81</v>
      </c>
      <c r="P361" s="30">
        <v>81</v>
      </c>
      <c r="Q361" s="30">
        <v>192</v>
      </c>
      <c r="R361" s="30" t="s">
        <v>140</v>
      </c>
      <c r="S361" s="30">
        <v>11.2</v>
      </c>
      <c r="T361" s="30">
        <v>5.9</v>
      </c>
      <c r="U361" s="34">
        <v>4</v>
      </c>
      <c r="V361" s="35">
        <v>5</v>
      </c>
      <c r="Y361" s="31" t="s">
        <v>353</v>
      </c>
      <c r="Z361" s="30">
        <v>-19.7</v>
      </c>
      <c r="AA361" s="30">
        <v>-17.7</v>
      </c>
      <c r="AB361" s="30">
        <v>-12.5</v>
      </c>
      <c r="AC361" s="30">
        <v>-4</v>
      </c>
      <c r="AD361" s="30">
        <v>1.5</v>
      </c>
      <c r="AE361" s="30">
        <v>7.7</v>
      </c>
      <c r="AF361" s="30">
        <v>12.7</v>
      </c>
      <c r="AG361" s="30">
        <v>13.9</v>
      </c>
      <c r="AH361" s="30">
        <v>10.199999999999999</v>
      </c>
      <c r="AI361" s="30">
        <v>2.7</v>
      </c>
      <c r="AJ361" s="30">
        <v>-6.3</v>
      </c>
      <c r="AK361" s="30">
        <v>-15.1</v>
      </c>
      <c r="AL361" s="30">
        <v>-2.2000000000000002</v>
      </c>
    </row>
    <row r="362" spans="1:38" x14ac:dyDescent="0.25">
      <c r="A362" s="31" t="s">
        <v>893</v>
      </c>
      <c r="B362" s="30">
        <v>-34</v>
      </c>
      <c r="C362" s="30">
        <v>-33</v>
      </c>
      <c r="D362" s="30">
        <v>-31</v>
      </c>
      <c r="E362" s="30">
        <v>-30</v>
      </c>
      <c r="F362" s="30">
        <v>-24</v>
      </c>
      <c r="G362" s="30">
        <v>-44</v>
      </c>
      <c r="H362" s="30">
        <v>7.7</v>
      </c>
      <c r="I362" s="30">
        <v>190</v>
      </c>
      <c r="J362" s="30">
        <v>-12.6</v>
      </c>
      <c r="K362" s="30">
        <v>249</v>
      </c>
      <c r="L362" s="30">
        <v>-8.6999999999999993</v>
      </c>
      <c r="M362" s="30">
        <v>265</v>
      </c>
      <c r="N362" s="30">
        <v>-7.6</v>
      </c>
      <c r="O362" s="30">
        <v>82</v>
      </c>
      <c r="P362" s="30">
        <v>79</v>
      </c>
      <c r="Q362" s="30">
        <v>152</v>
      </c>
      <c r="R362" s="30" t="s">
        <v>165</v>
      </c>
      <c r="S362" s="30">
        <v>6.1</v>
      </c>
      <c r="T362" s="30">
        <v>4.5</v>
      </c>
      <c r="U362" s="34">
        <v>4</v>
      </c>
      <c r="V362" s="35">
        <v>5</v>
      </c>
      <c r="Y362" s="31" t="s">
        <v>352</v>
      </c>
      <c r="Z362" s="30">
        <v>-19.600000000000001</v>
      </c>
      <c r="AA362" s="30">
        <v>-18.3</v>
      </c>
      <c r="AB362" s="30">
        <v>-11.9</v>
      </c>
      <c r="AC362" s="30">
        <v>-3.2</v>
      </c>
      <c r="AD362" s="30">
        <v>2.4</v>
      </c>
      <c r="AE362" s="30">
        <v>9.8000000000000007</v>
      </c>
      <c r="AF362" s="30">
        <v>14.1</v>
      </c>
      <c r="AG362" s="30">
        <v>15.5</v>
      </c>
      <c r="AH362" s="30">
        <v>11.8</v>
      </c>
      <c r="AI362" s="30">
        <v>3.9</v>
      </c>
      <c r="AJ362" s="30">
        <v>-7.3</v>
      </c>
      <c r="AK362" s="30">
        <v>-16</v>
      </c>
      <c r="AL362" s="30">
        <v>-1.6</v>
      </c>
    </row>
    <row r="363" spans="1:38" x14ac:dyDescent="0.25">
      <c r="A363" s="31" t="s">
        <v>894</v>
      </c>
      <c r="B363" s="30">
        <v>-30</v>
      </c>
      <c r="C363" s="30">
        <v>-28</v>
      </c>
      <c r="D363" s="30">
        <v>-27</v>
      </c>
      <c r="E363" s="30">
        <v>-26</v>
      </c>
      <c r="F363" s="30">
        <v>-20</v>
      </c>
      <c r="G363" s="30">
        <v>-40</v>
      </c>
      <c r="H363" s="30">
        <v>9.9</v>
      </c>
      <c r="I363" s="30">
        <v>166</v>
      </c>
      <c r="J363" s="30">
        <v>-10.5</v>
      </c>
      <c r="K363" s="30">
        <v>245</v>
      </c>
      <c r="L363" s="30">
        <v>-5.8</v>
      </c>
      <c r="M363" s="30">
        <v>267</v>
      </c>
      <c r="N363" s="30">
        <v>-4.5999999999999996</v>
      </c>
      <c r="O363" s="30">
        <v>70</v>
      </c>
      <c r="P363" s="30">
        <v>63</v>
      </c>
      <c r="Q363" s="30">
        <v>172</v>
      </c>
      <c r="R363" s="30" t="s">
        <v>165</v>
      </c>
      <c r="S363" s="30">
        <v>3.9</v>
      </c>
      <c r="T363" s="30">
        <v>3.5</v>
      </c>
      <c r="U363" s="34">
        <v>4</v>
      </c>
      <c r="V363" s="35">
        <v>5</v>
      </c>
      <c r="Y363" s="31" t="s">
        <v>351</v>
      </c>
      <c r="Z363" s="30">
        <v>-16.100000000000001</v>
      </c>
      <c r="AA363" s="30">
        <v>-13.9</v>
      </c>
      <c r="AB363" s="30">
        <v>-7.1</v>
      </c>
      <c r="AC363" s="30">
        <v>0.1</v>
      </c>
      <c r="AD363" s="30">
        <v>4.8</v>
      </c>
      <c r="AE363" s="30">
        <v>9.4</v>
      </c>
      <c r="AF363" s="30">
        <v>13.6</v>
      </c>
      <c r="AG363" s="30">
        <v>15.6</v>
      </c>
      <c r="AH363" s="30">
        <v>12.1</v>
      </c>
      <c r="AI363" s="30">
        <v>5.0999999999999996</v>
      </c>
      <c r="AJ363" s="30">
        <v>-4.5999999999999996</v>
      </c>
      <c r="AK363" s="30">
        <v>-13</v>
      </c>
      <c r="AL363" s="30">
        <v>0.5</v>
      </c>
    </row>
    <row r="364" spans="1:38" x14ac:dyDescent="0.25">
      <c r="A364" s="31" t="s">
        <v>350</v>
      </c>
      <c r="B364" s="30">
        <v>-38</v>
      </c>
      <c r="C364" s="30">
        <v>-36</v>
      </c>
      <c r="D364" s="30">
        <v>-35</v>
      </c>
      <c r="E364" s="30">
        <v>-33</v>
      </c>
      <c r="F364" s="30">
        <v>-27</v>
      </c>
      <c r="G364" s="30">
        <v>-45</v>
      </c>
      <c r="H364" s="30">
        <v>8.5</v>
      </c>
      <c r="I364" s="30">
        <v>193</v>
      </c>
      <c r="J364" s="30">
        <v>-13.1</v>
      </c>
      <c r="K364" s="30">
        <v>255</v>
      </c>
      <c r="L364" s="30">
        <v>-8.9</v>
      </c>
      <c r="M364" s="30">
        <v>272</v>
      </c>
      <c r="N364" s="30">
        <v>-7.3</v>
      </c>
      <c r="O364" s="30">
        <v>84</v>
      </c>
      <c r="P364" s="30">
        <v>84</v>
      </c>
      <c r="Q364" s="30">
        <v>135</v>
      </c>
      <c r="R364" s="30" t="s">
        <v>140</v>
      </c>
      <c r="S364" s="30" t="s">
        <v>41</v>
      </c>
      <c r="T364" s="30">
        <v>5.3</v>
      </c>
      <c r="U364" s="34">
        <v>4</v>
      </c>
      <c r="V364" s="35">
        <v>5</v>
      </c>
      <c r="Y364" s="31" t="s">
        <v>350</v>
      </c>
      <c r="Z364" s="30">
        <v>-22.3</v>
      </c>
      <c r="AA364" s="30">
        <v>-20.100000000000001</v>
      </c>
      <c r="AB364" s="30">
        <v>-14.3</v>
      </c>
      <c r="AC364" s="30">
        <v>-4.5999999999999996</v>
      </c>
      <c r="AD364" s="30">
        <v>1.8</v>
      </c>
      <c r="AE364" s="30">
        <v>9.4</v>
      </c>
      <c r="AF364" s="30">
        <v>14.4</v>
      </c>
      <c r="AG364" s="30">
        <v>15.1</v>
      </c>
      <c r="AH364" s="30">
        <v>11.1</v>
      </c>
      <c r="AI364" s="30">
        <v>3.4</v>
      </c>
      <c r="AJ364" s="30">
        <v>-6.9</v>
      </c>
      <c r="AK364" s="30">
        <v>-17.399999999999999</v>
      </c>
      <c r="AL364" s="30">
        <v>-2.5</v>
      </c>
    </row>
    <row r="365" spans="1:38" x14ac:dyDescent="0.25">
      <c r="A365" s="31" t="s">
        <v>349</v>
      </c>
      <c r="B365" s="30">
        <v>-22</v>
      </c>
      <c r="C365" s="30">
        <v>-21</v>
      </c>
      <c r="D365" s="30">
        <v>-19</v>
      </c>
      <c r="E365" s="30">
        <v>-18</v>
      </c>
      <c r="F365" s="30">
        <v>-15</v>
      </c>
      <c r="G365" s="30">
        <v>-25</v>
      </c>
      <c r="H365" s="30">
        <v>5.9</v>
      </c>
      <c r="I365" s="30">
        <v>140</v>
      </c>
      <c r="J365" s="30">
        <v>-6</v>
      </c>
      <c r="K365" s="30">
        <v>220</v>
      </c>
      <c r="L365" s="30">
        <v>-2.2999999999999998</v>
      </c>
      <c r="M365" s="30">
        <v>244</v>
      </c>
      <c r="N365" s="30">
        <v>-1.2</v>
      </c>
      <c r="O365" s="30">
        <v>75</v>
      </c>
      <c r="P365" s="30">
        <v>68</v>
      </c>
      <c r="Q365" s="30">
        <v>305</v>
      </c>
      <c r="R365" s="30" t="s">
        <v>185</v>
      </c>
      <c r="S365" s="30">
        <v>10.7</v>
      </c>
      <c r="T365" s="30">
        <v>6.4</v>
      </c>
      <c r="U365" s="34">
        <v>4</v>
      </c>
      <c r="V365" s="35">
        <v>5</v>
      </c>
      <c r="Y365" s="31" t="s">
        <v>349</v>
      </c>
      <c r="Z365" s="30">
        <v>-9.6999999999999993</v>
      </c>
      <c r="AA365" s="30">
        <v>-8.6999999999999993</v>
      </c>
      <c r="AB365" s="30">
        <v>-4.2</v>
      </c>
      <c r="AC365" s="30">
        <v>2.2999999999999998</v>
      </c>
      <c r="AD365" s="30">
        <v>6.9</v>
      </c>
      <c r="AE365" s="30">
        <v>11.4</v>
      </c>
      <c r="AF365" s="30">
        <v>15.7</v>
      </c>
      <c r="AG365" s="30">
        <v>17.7</v>
      </c>
      <c r="AH365" s="30">
        <v>14.2</v>
      </c>
      <c r="AI365" s="30">
        <v>7.8</v>
      </c>
      <c r="AJ365" s="30">
        <v>0</v>
      </c>
      <c r="AK365" s="30">
        <v>-6.1</v>
      </c>
      <c r="AL365" s="30">
        <v>3.9</v>
      </c>
    </row>
    <row r="366" spans="1:38" x14ac:dyDescent="0.25">
      <c r="A366" s="31" t="s">
        <v>895</v>
      </c>
      <c r="B366" s="30">
        <v>-16</v>
      </c>
      <c r="C366" s="30">
        <v>-15</v>
      </c>
      <c r="D366" s="30">
        <v>-15</v>
      </c>
      <c r="E366" s="30">
        <v>-13</v>
      </c>
      <c r="F366" s="30">
        <v>-9</v>
      </c>
      <c r="G366" s="30">
        <v>-20</v>
      </c>
      <c r="H366" s="30">
        <v>5.6</v>
      </c>
      <c r="I366" s="30">
        <v>119</v>
      </c>
      <c r="J366" s="30">
        <v>-3.7</v>
      </c>
      <c r="K366" s="30">
        <v>225</v>
      </c>
      <c r="L366" s="30">
        <v>0</v>
      </c>
      <c r="M366" s="30">
        <v>253</v>
      </c>
      <c r="N366" s="30">
        <v>1</v>
      </c>
      <c r="O366" s="30">
        <v>73</v>
      </c>
      <c r="P366" s="30">
        <v>68</v>
      </c>
      <c r="Q366" s="30">
        <v>347</v>
      </c>
      <c r="R366" s="30" t="s">
        <v>140</v>
      </c>
      <c r="S366" s="30">
        <v>6.8</v>
      </c>
      <c r="T366" s="30">
        <v>5.4</v>
      </c>
      <c r="U366" s="34">
        <v>4</v>
      </c>
      <c r="V366" s="35">
        <v>5</v>
      </c>
      <c r="Y366" s="31" t="s">
        <v>348</v>
      </c>
      <c r="Z366" s="30">
        <v>-4.4000000000000004</v>
      </c>
      <c r="AA366" s="30">
        <v>-5.6</v>
      </c>
      <c r="AB366" s="30">
        <v>-2.7</v>
      </c>
      <c r="AC366" s="30">
        <v>1.6</v>
      </c>
      <c r="AD366" s="30">
        <v>5.2</v>
      </c>
      <c r="AE366" s="30">
        <v>8.5</v>
      </c>
      <c r="AF366" s="30">
        <v>12.4</v>
      </c>
      <c r="AG366" s="30">
        <v>15.7</v>
      </c>
      <c r="AH366" s="30">
        <v>14.8</v>
      </c>
      <c r="AI366" s="30">
        <v>10.7</v>
      </c>
      <c r="AJ366" s="30">
        <v>4.5</v>
      </c>
      <c r="AK366" s="30">
        <v>-1.1000000000000001</v>
      </c>
      <c r="AL366" s="30">
        <v>5</v>
      </c>
    </row>
    <row r="367" spans="1:38" x14ac:dyDescent="0.25">
      <c r="A367" s="31" t="s">
        <v>896</v>
      </c>
      <c r="B367" s="30">
        <v>-25</v>
      </c>
      <c r="C367" s="30">
        <v>-24</v>
      </c>
      <c r="D367" s="30">
        <v>-24</v>
      </c>
      <c r="E367" s="30">
        <v>-22</v>
      </c>
      <c r="F367" s="30">
        <v>-17</v>
      </c>
      <c r="G367" s="30">
        <v>-36</v>
      </c>
      <c r="H367" s="30">
        <v>10.7</v>
      </c>
      <c r="I367" s="30">
        <v>153</v>
      </c>
      <c r="J367" s="30">
        <v>-8.5</v>
      </c>
      <c r="K367" s="30">
        <v>227</v>
      </c>
      <c r="L367" s="30">
        <v>-4.4000000000000004</v>
      </c>
      <c r="M367" s="30">
        <v>249</v>
      </c>
      <c r="N367" s="30">
        <v>-3.2</v>
      </c>
      <c r="O367" s="30">
        <v>82</v>
      </c>
      <c r="P367" s="30">
        <v>70</v>
      </c>
      <c r="Q367" s="30">
        <v>268</v>
      </c>
      <c r="R367" s="30" t="s">
        <v>165</v>
      </c>
      <c r="S367" s="30">
        <v>3.3</v>
      </c>
      <c r="T367" s="30">
        <v>2.7</v>
      </c>
      <c r="U367" s="34">
        <v>4</v>
      </c>
      <c r="V367" s="35">
        <v>5</v>
      </c>
      <c r="Y367" s="31" t="s">
        <v>347</v>
      </c>
      <c r="Z367" s="30">
        <v>-12.8</v>
      </c>
      <c r="AA367" s="30">
        <v>-12</v>
      </c>
      <c r="AB367" s="30">
        <v>-5.8</v>
      </c>
      <c r="AC367" s="30">
        <v>1.6</v>
      </c>
      <c r="AD367" s="30">
        <v>7</v>
      </c>
      <c r="AE367" s="30">
        <v>11.5</v>
      </c>
      <c r="AF367" s="30">
        <v>15.5</v>
      </c>
      <c r="AG367" s="30">
        <v>17</v>
      </c>
      <c r="AH367" s="30">
        <v>13</v>
      </c>
      <c r="AI367" s="30">
        <v>6.3</v>
      </c>
      <c r="AJ367" s="30">
        <v>-1.7</v>
      </c>
      <c r="AK367" s="30">
        <v>-8.8000000000000007</v>
      </c>
      <c r="AL367" s="30">
        <v>2.6</v>
      </c>
    </row>
    <row r="368" spans="1:38" ht="25.5" x14ac:dyDescent="0.25">
      <c r="A368" s="33" t="s">
        <v>346</v>
      </c>
      <c r="B368" s="70"/>
      <c r="C368" s="70"/>
      <c r="D368" s="70"/>
      <c r="E368" s="70"/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  <c r="U368" s="34"/>
      <c r="Y368" s="33" t="s">
        <v>346</v>
      </c>
      <c r="Z368" s="70"/>
      <c r="AA368" s="70"/>
      <c r="AB368" s="70"/>
      <c r="AC368" s="70"/>
      <c r="AD368" s="70"/>
      <c r="AE368" s="70"/>
      <c r="AF368" s="70"/>
      <c r="AG368" s="70"/>
      <c r="AH368" s="70"/>
      <c r="AI368" s="70"/>
      <c r="AJ368" s="70"/>
      <c r="AK368" s="70"/>
      <c r="AL368" s="70"/>
    </row>
    <row r="369" spans="1:38" x14ac:dyDescent="0.25">
      <c r="A369" s="31" t="s">
        <v>897</v>
      </c>
      <c r="B369" s="30">
        <v>-45</v>
      </c>
      <c r="C369" s="30">
        <v>-41</v>
      </c>
      <c r="D369" s="30">
        <v>-40</v>
      </c>
      <c r="E369" s="30">
        <v>-36</v>
      </c>
      <c r="F369" s="30">
        <v>-20</v>
      </c>
      <c r="G369" s="30">
        <v>-52</v>
      </c>
      <c r="H369" s="30">
        <v>9.1999999999999993</v>
      </c>
      <c r="I369" s="30">
        <v>165</v>
      </c>
      <c r="J369" s="30">
        <v>-10.8</v>
      </c>
      <c r="K369" s="30">
        <v>233</v>
      </c>
      <c r="L369" s="30">
        <v>-6.4</v>
      </c>
      <c r="M369" s="30">
        <v>252</v>
      </c>
      <c r="N369" s="30">
        <v>-5.3</v>
      </c>
      <c r="O369" s="30">
        <v>79</v>
      </c>
      <c r="P369" s="30">
        <v>78</v>
      </c>
      <c r="Q369" s="30">
        <v>114</v>
      </c>
      <c r="R369" s="30" t="s">
        <v>142</v>
      </c>
      <c r="S369" s="30">
        <v>3.1</v>
      </c>
      <c r="T369" s="30">
        <v>2.5</v>
      </c>
      <c r="U369" s="34">
        <v>1</v>
      </c>
      <c r="V369" s="35">
        <v>2</v>
      </c>
      <c r="Y369" s="31" t="s">
        <v>345</v>
      </c>
      <c r="Z369" s="30">
        <v>-16.3</v>
      </c>
      <c r="AA369" s="30">
        <v>-14.3</v>
      </c>
      <c r="AB369" s="30">
        <v>-5</v>
      </c>
      <c r="AC369" s="30">
        <v>2.9</v>
      </c>
      <c r="AD369" s="30">
        <v>9.6</v>
      </c>
      <c r="AE369" s="30">
        <v>15.3</v>
      </c>
      <c r="AF369" s="30">
        <v>17.7</v>
      </c>
      <c r="AG369" s="30">
        <v>14.4</v>
      </c>
      <c r="AH369" s="30">
        <v>8.6999999999999993</v>
      </c>
      <c r="AI369" s="30">
        <v>1.5</v>
      </c>
      <c r="AJ369" s="30">
        <v>-7.4</v>
      </c>
      <c r="AK369" s="30">
        <v>-13.4</v>
      </c>
      <c r="AL369" s="30">
        <v>1.1000000000000001</v>
      </c>
    </row>
    <row r="370" spans="1:38" x14ac:dyDescent="0.25">
      <c r="A370" s="31" t="s">
        <v>898</v>
      </c>
      <c r="B370" s="30">
        <v>-41</v>
      </c>
      <c r="C370" s="30">
        <v>-38</v>
      </c>
      <c r="D370" s="30">
        <v>-37</v>
      </c>
      <c r="E370" s="30">
        <v>-32</v>
      </c>
      <c r="F370" s="30">
        <v>-18</v>
      </c>
      <c r="G370" s="30">
        <v>-47</v>
      </c>
      <c r="H370" s="30">
        <v>6.8</v>
      </c>
      <c r="I370" s="30">
        <v>158</v>
      </c>
      <c r="J370" s="30">
        <v>-9.1999999999999993</v>
      </c>
      <c r="K370" s="30">
        <v>221</v>
      </c>
      <c r="L370" s="30">
        <v>-5.4</v>
      </c>
      <c r="M370" s="30">
        <v>239</v>
      </c>
      <c r="N370" s="30">
        <v>-4.3</v>
      </c>
      <c r="O370" s="30">
        <v>78</v>
      </c>
      <c r="P370" s="30">
        <v>75</v>
      </c>
      <c r="Q370" s="30">
        <v>112</v>
      </c>
      <c r="R370" s="30" t="s">
        <v>142</v>
      </c>
      <c r="S370" s="30">
        <v>4.0999999999999996</v>
      </c>
      <c r="T370" s="30">
        <v>3.2</v>
      </c>
      <c r="U370" s="34">
        <v>1</v>
      </c>
      <c r="V370" s="35">
        <v>2</v>
      </c>
      <c r="Y370" s="31" t="s">
        <v>344</v>
      </c>
      <c r="Z370" s="30">
        <v>-13.6</v>
      </c>
      <c r="AA370" s="30">
        <v>-11.8</v>
      </c>
      <c r="AB370" s="30">
        <v>-4</v>
      </c>
      <c r="AC370" s="30">
        <v>4.3</v>
      </c>
      <c r="AD370" s="30">
        <v>11.2</v>
      </c>
      <c r="AE370" s="30">
        <v>16.399999999999999</v>
      </c>
      <c r="AF370" s="30">
        <v>18.5</v>
      </c>
      <c r="AG370" s="30">
        <v>15.5</v>
      </c>
      <c r="AH370" s="30">
        <v>9.8000000000000007</v>
      </c>
      <c r="AI370" s="30">
        <v>2.5</v>
      </c>
      <c r="AJ370" s="30">
        <v>-5.6</v>
      </c>
      <c r="AK370" s="30">
        <v>-11.3</v>
      </c>
      <c r="AL370" s="30">
        <v>2.6</v>
      </c>
    </row>
    <row r="371" spans="1:38" x14ac:dyDescent="0.25">
      <c r="A371" s="31" t="s">
        <v>899</v>
      </c>
      <c r="B371" s="30">
        <v>-46</v>
      </c>
      <c r="C371" s="30">
        <v>-43</v>
      </c>
      <c r="D371" s="30">
        <v>-42</v>
      </c>
      <c r="E371" s="30">
        <v>-39</v>
      </c>
      <c r="F371" s="30">
        <v>-22</v>
      </c>
      <c r="G371" s="30">
        <v>-49</v>
      </c>
      <c r="H371" s="30">
        <v>10.6</v>
      </c>
      <c r="I371" s="30">
        <v>176</v>
      </c>
      <c r="J371" s="30">
        <v>-12.2</v>
      </c>
      <c r="K371" s="30">
        <v>245</v>
      </c>
      <c r="L371" s="30">
        <v>-7.6</v>
      </c>
      <c r="M371" s="30">
        <v>264</v>
      </c>
      <c r="N371" s="30">
        <v>-6.4</v>
      </c>
      <c r="O371" s="30">
        <v>78</v>
      </c>
      <c r="P371" s="30">
        <v>77</v>
      </c>
      <c r="Q371" s="30">
        <v>114</v>
      </c>
      <c r="R371" s="30" t="s">
        <v>165</v>
      </c>
      <c r="S371" s="30">
        <v>2.8</v>
      </c>
      <c r="T371" s="30">
        <v>1.8</v>
      </c>
      <c r="U371" s="34">
        <v>1</v>
      </c>
      <c r="V371" s="35">
        <v>2</v>
      </c>
      <c r="Y371" s="31" t="s">
        <v>343</v>
      </c>
      <c r="Z371" s="30">
        <v>-19.2</v>
      </c>
      <c r="AA371" s="30">
        <v>-16.5</v>
      </c>
      <c r="AB371" s="30">
        <v>-6.2</v>
      </c>
      <c r="AC371" s="30">
        <v>1.2</v>
      </c>
      <c r="AD371" s="30">
        <v>8</v>
      </c>
      <c r="AE371" s="30">
        <v>14.4</v>
      </c>
      <c r="AF371" s="30">
        <v>17.3</v>
      </c>
      <c r="AG371" s="30">
        <v>13.7</v>
      </c>
      <c r="AH371" s="30">
        <v>7.7</v>
      </c>
      <c r="AI371" s="30">
        <v>0.2</v>
      </c>
      <c r="AJ371" s="30">
        <v>-9.5</v>
      </c>
      <c r="AK371" s="30">
        <v>-15.9</v>
      </c>
      <c r="AL371" s="30">
        <v>-0.4</v>
      </c>
    </row>
    <row r="372" spans="1:38" x14ac:dyDescent="0.25">
      <c r="A372" s="31" t="s">
        <v>342</v>
      </c>
      <c r="B372" s="30">
        <v>-42</v>
      </c>
      <c r="C372" s="30">
        <v>-40</v>
      </c>
      <c r="D372" s="30">
        <v>-38</v>
      </c>
      <c r="E372" s="30">
        <v>-35</v>
      </c>
      <c r="F372" s="30">
        <v>-20</v>
      </c>
      <c r="G372" s="30">
        <v>-46</v>
      </c>
      <c r="H372" s="30">
        <v>8.5</v>
      </c>
      <c r="I372" s="30">
        <v>166</v>
      </c>
      <c r="J372" s="30">
        <v>-10.7</v>
      </c>
      <c r="K372" s="30">
        <v>222</v>
      </c>
      <c r="L372" s="30">
        <v>-6.9</v>
      </c>
      <c r="M372" s="30">
        <v>240</v>
      </c>
      <c r="N372" s="30">
        <v>-5.7</v>
      </c>
      <c r="O372" s="30">
        <v>78</v>
      </c>
      <c r="P372" s="30">
        <v>76</v>
      </c>
      <c r="Q372" s="30">
        <v>116</v>
      </c>
      <c r="R372" s="30" t="s">
        <v>155</v>
      </c>
      <c r="S372" s="30" t="s">
        <v>41</v>
      </c>
      <c r="T372" s="30">
        <v>3.2</v>
      </c>
      <c r="U372" s="34">
        <v>1</v>
      </c>
      <c r="V372" s="35">
        <v>2</v>
      </c>
      <c r="Y372" s="31" t="s">
        <v>342</v>
      </c>
      <c r="Z372" s="30">
        <v>-16.2</v>
      </c>
      <c r="AA372" s="30">
        <v>-14.7</v>
      </c>
      <c r="AB372" s="30">
        <v>-7.5</v>
      </c>
      <c r="AC372" s="30">
        <v>3.5</v>
      </c>
      <c r="AD372" s="30">
        <v>11.2</v>
      </c>
      <c r="AE372" s="30">
        <v>16.2</v>
      </c>
      <c r="AF372" s="30">
        <v>18.100000000000001</v>
      </c>
      <c r="AG372" s="30">
        <v>15.7</v>
      </c>
      <c r="AH372" s="30">
        <v>9.9</v>
      </c>
      <c r="AI372" s="30">
        <v>1.9</v>
      </c>
      <c r="AJ372" s="30">
        <v>-6.5</v>
      </c>
      <c r="AK372" s="30">
        <v>-13.5</v>
      </c>
      <c r="AL372" s="30">
        <v>1.5</v>
      </c>
    </row>
    <row r="373" spans="1:38" x14ac:dyDescent="0.25">
      <c r="A373" s="31" t="s">
        <v>341</v>
      </c>
      <c r="B373" s="30">
        <v>-44</v>
      </c>
      <c r="C373" s="30">
        <v>-42</v>
      </c>
      <c r="D373" s="30">
        <v>-40</v>
      </c>
      <c r="E373" s="30">
        <v>-35</v>
      </c>
      <c r="F373" s="30">
        <v>-21</v>
      </c>
      <c r="G373" s="30">
        <v>-51</v>
      </c>
      <c r="H373" s="30">
        <v>9.9</v>
      </c>
      <c r="I373" s="30">
        <v>169</v>
      </c>
      <c r="J373" s="30">
        <v>-11.7</v>
      </c>
      <c r="K373" s="30">
        <v>226</v>
      </c>
      <c r="L373" s="30">
        <v>-7.7</v>
      </c>
      <c r="M373" s="30">
        <v>245</v>
      </c>
      <c r="N373" s="30">
        <v>-6.4</v>
      </c>
      <c r="O373" s="30">
        <v>80</v>
      </c>
      <c r="P373" s="30">
        <v>77</v>
      </c>
      <c r="Q373" s="30">
        <v>106</v>
      </c>
      <c r="R373" s="30" t="s">
        <v>155</v>
      </c>
      <c r="S373" s="30" t="s">
        <v>41</v>
      </c>
      <c r="T373" s="30">
        <v>3.5</v>
      </c>
      <c r="U373" s="34">
        <v>1</v>
      </c>
      <c r="V373" s="35">
        <v>2</v>
      </c>
      <c r="Y373" s="31" t="s">
        <v>341</v>
      </c>
      <c r="Z373" s="30">
        <v>-18</v>
      </c>
      <c r="AA373" s="30">
        <v>-16.2</v>
      </c>
      <c r="AB373" s="30">
        <v>-8.3000000000000007</v>
      </c>
      <c r="AC373" s="30">
        <v>3</v>
      </c>
      <c r="AD373" s="30">
        <v>10.8</v>
      </c>
      <c r="AE373" s="30">
        <v>15.7</v>
      </c>
      <c r="AF373" s="30">
        <v>17.8</v>
      </c>
      <c r="AG373" s="30">
        <v>15</v>
      </c>
      <c r="AH373" s="30">
        <v>9.5</v>
      </c>
      <c r="AI373" s="30">
        <v>0.9</v>
      </c>
      <c r="AJ373" s="30">
        <v>-7.7</v>
      </c>
      <c r="AK373" s="30">
        <v>-14.8</v>
      </c>
      <c r="AL373" s="30">
        <v>0.6</v>
      </c>
    </row>
    <row r="374" spans="1:38" x14ac:dyDescent="0.25">
      <c r="A374" s="31" t="s">
        <v>340</v>
      </c>
      <c r="B374" s="30">
        <v>-42</v>
      </c>
      <c r="C374" s="30">
        <v>-40</v>
      </c>
      <c r="D374" s="30">
        <v>-38</v>
      </c>
      <c r="E374" s="30">
        <v>-35</v>
      </c>
      <c r="F374" s="30">
        <v>-20</v>
      </c>
      <c r="G374" s="30">
        <v>-51</v>
      </c>
      <c r="H374" s="30">
        <v>8</v>
      </c>
      <c r="I374" s="30">
        <v>171</v>
      </c>
      <c r="J374" s="30">
        <v>-10.4</v>
      </c>
      <c r="K374" s="30">
        <v>235</v>
      </c>
      <c r="L374" s="30">
        <v>-6.4</v>
      </c>
      <c r="M374" s="30">
        <v>254</v>
      </c>
      <c r="N374" s="30">
        <v>-5.2</v>
      </c>
      <c r="O374" s="30">
        <v>82</v>
      </c>
      <c r="P374" s="30">
        <v>78</v>
      </c>
      <c r="Q374" s="30">
        <v>205</v>
      </c>
      <c r="R374" s="30" t="s">
        <v>155</v>
      </c>
      <c r="S374" s="30" t="s">
        <v>41</v>
      </c>
      <c r="T374" s="30">
        <v>3.2</v>
      </c>
      <c r="U374" s="34">
        <v>1</v>
      </c>
      <c r="V374" s="35">
        <v>2</v>
      </c>
      <c r="Y374" s="31" t="s">
        <v>340</v>
      </c>
      <c r="Z374" s="30">
        <v>-16.100000000000001</v>
      </c>
      <c r="AA374" s="30">
        <v>-14.4</v>
      </c>
      <c r="AB374" s="30">
        <v>-7.4</v>
      </c>
      <c r="AC374" s="30">
        <v>2.5</v>
      </c>
      <c r="AD374" s="30">
        <v>9.6</v>
      </c>
      <c r="AE374" s="30">
        <v>14.9</v>
      </c>
      <c r="AF374" s="30">
        <v>17</v>
      </c>
      <c r="AG374" s="30">
        <v>14.5</v>
      </c>
      <c r="AH374" s="30">
        <v>8.6999999999999993</v>
      </c>
      <c r="AI374" s="30">
        <v>0.9</v>
      </c>
      <c r="AJ374" s="30">
        <v>-7</v>
      </c>
      <c r="AK374" s="30">
        <v>-13.6</v>
      </c>
      <c r="AL374" s="30">
        <v>0.8</v>
      </c>
    </row>
    <row r="375" spans="1:38" ht="25.5" x14ac:dyDescent="0.25">
      <c r="A375" s="33" t="s">
        <v>339</v>
      </c>
      <c r="B375" s="70"/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  <c r="S375" s="70"/>
      <c r="T375" s="70"/>
      <c r="U375" s="34"/>
      <c r="Y375" s="33" t="s">
        <v>338</v>
      </c>
      <c r="Z375" s="70"/>
      <c r="AA375" s="70"/>
      <c r="AB375" s="70"/>
      <c r="AC375" s="70"/>
      <c r="AD375" s="70"/>
      <c r="AE375" s="70"/>
      <c r="AF375" s="70"/>
      <c r="AG375" s="70"/>
      <c r="AH375" s="70"/>
      <c r="AI375" s="70"/>
      <c r="AJ375" s="70"/>
      <c r="AK375" s="70"/>
      <c r="AL375" s="70"/>
    </row>
    <row r="376" spans="1:38" x14ac:dyDescent="0.25">
      <c r="A376" s="31" t="s">
        <v>900</v>
      </c>
      <c r="B376" s="30">
        <v>-19</v>
      </c>
      <c r="C376" s="30">
        <v>-17</v>
      </c>
      <c r="D376" s="30">
        <v>-15</v>
      </c>
      <c r="E376" s="30">
        <v>-13</v>
      </c>
      <c r="F376" s="30">
        <v>-7</v>
      </c>
      <c r="G376" s="30">
        <v>-28</v>
      </c>
      <c r="H376" s="30">
        <v>9.1</v>
      </c>
      <c r="I376" s="30">
        <v>90</v>
      </c>
      <c r="J376" s="30">
        <v>-2.1</v>
      </c>
      <c r="K376" s="30">
        <v>169</v>
      </c>
      <c r="L376" s="30">
        <v>0.7</v>
      </c>
      <c r="M376" s="30">
        <v>189</v>
      </c>
      <c r="N376" s="30">
        <v>1.6</v>
      </c>
      <c r="O376" s="30">
        <v>81</v>
      </c>
      <c r="P376" s="30">
        <v>69</v>
      </c>
      <c r="Q376" s="30">
        <v>176</v>
      </c>
      <c r="R376" s="30" t="s">
        <v>150</v>
      </c>
      <c r="S376" s="30">
        <v>2</v>
      </c>
      <c r="T376" s="30">
        <v>1.6</v>
      </c>
      <c r="U376" s="32">
        <v>0</v>
      </c>
      <c r="V376" s="29" t="s">
        <v>246</v>
      </c>
      <c r="Y376" s="31" t="s">
        <v>337</v>
      </c>
      <c r="Z376" s="30">
        <v>-2.9</v>
      </c>
      <c r="AA376" s="30">
        <v>-2</v>
      </c>
      <c r="AB376" s="30">
        <v>2.7</v>
      </c>
      <c r="AC376" s="30">
        <v>9.4</v>
      </c>
      <c r="AD376" s="30">
        <v>14.1</v>
      </c>
      <c r="AE376" s="30">
        <v>17.7</v>
      </c>
      <c r="AF376" s="30">
        <v>20.3</v>
      </c>
      <c r="AG376" s="30">
        <v>19.8</v>
      </c>
      <c r="AH376" s="30">
        <v>15.2</v>
      </c>
      <c r="AI376" s="30">
        <v>9.5</v>
      </c>
      <c r="AJ376" s="30">
        <v>3.7</v>
      </c>
      <c r="AK376" s="30">
        <v>-0.9</v>
      </c>
      <c r="AL376" s="30">
        <v>8.9</v>
      </c>
    </row>
    <row r="377" spans="1:38" x14ac:dyDescent="0.25">
      <c r="A377" s="33" t="s">
        <v>336</v>
      </c>
      <c r="B377" s="70"/>
      <c r="C377" s="70"/>
      <c r="D377" s="70"/>
      <c r="E377" s="70"/>
      <c r="F377" s="70"/>
      <c r="G377" s="70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/>
      <c r="S377" s="70"/>
      <c r="T377" s="70"/>
      <c r="U377" s="34"/>
      <c r="Y377" s="33" t="s">
        <v>336</v>
      </c>
      <c r="Z377" s="70"/>
      <c r="AA377" s="70"/>
      <c r="AB377" s="70"/>
      <c r="AC377" s="70"/>
      <c r="AD377" s="70"/>
      <c r="AE377" s="70"/>
      <c r="AF377" s="70"/>
      <c r="AG377" s="70"/>
      <c r="AH377" s="70"/>
      <c r="AI377" s="70"/>
      <c r="AJ377" s="70"/>
      <c r="AK377" s="70"/>
      <c r="AL377" s="70"/>
    </row>
    <row r="378" spans="1:38" x14ac:dyDescent="0.25">
      <c r="A378" s="31" t="s">
        <v>335</v>
      </c>
      <c r="B378" s="30">
        <v>-35</v>
      </c>
      <c r="C378" s="30">
        <v>-32</v>
      </c>
      <c r="D378" s="30">
        <v>-29</v>
      </c>
      <c r="E378" s="30">
        <v>-27</v>
      </c>
      <c r="F378" s="30">
        <v>-15</v>
      </c>
      <c r="G378" s="30">
        <v>-43</v>
      </c>
      <c r="H378" s="30">
        <v>6.3</v>
      </c>
      <c r="I378" s="30">
        <v>145</v>
      </c>
      <c r="J378" s="30">
        <v>-6.1</v>
      </c>
      <c r="K378" s="30">
        <v>217</v>
      </c>
      <c r="L378" s="30">
        <v>-2.8</v>
      </c>
      <c r="M378" s="30">
        <v>236</v>
      </c>
      <c r="N378" s="30">
        <v>-1.8</v>
      </c>
      <c r="O378" s="30">
        <v>87</v>
      </c>
      <c r="P378" s="30">
        <v>86</v>
      </c>
      <c r="Q378" s="30">
        <v>284</v>
      </c>
      <c r="R378" s="30" t="s">
        <v>185</v>
      </c>
      <c r="S378" s="30" t="s">
        <v>41</v>
      </c>
      <c r="T378" s="30">
        <v>4.4000000000000004</v>
      </c>
      <c r="U378" s="34">
        <v>0</v>
      </c>
      <c r="Y378" s="31" t="s">
        <v>335</v>
      </c>
      <c r="Z378" s="30">
        <v>-9.8000000000000007</v>
      </c>
      <c r="AA378" s="30">
        <v>-9</v>
      </c>
      <c r="AB378" s="30">
        <v>-4.3</v>
      </c>
      <c r="AC378" s="30">
        <v>4.3</v>
      </c>
      <c r="AD378" s="30">
        <v>11.3</v>
      </c>
      <c r="AE378" s="30">
        <v>15.4</v>
      </c>
      <c r="AF378" s="30">
        <v>16.600000000000001</v>
      </c>
      <c r="AG378" s="30">
        <v>15.4</v>
      </c>
      <c r="AH378" s="30">
        <v>10.199999999999999</v>
      </c>
      <c r="AI378" s="30">
        <v>4.0999999999999996</v>
      </c>
      <c r="AJ378" s="30">
        <v>-1.9</v>
      </c>
      <c r="AK378" s="30">
        <v>-6.4</v>
      </c>
      <c r="AL378" s="30">
        <v>3.8</v>
      </c>
    </row>
    <row r="379" spans="1:38" x14ac:dyDescent="0.25">
      <c r="A379" s="31" t="s">
        <v>901</v>
      </c>
      <c r="B379" s="30">
        <v>-33</v>
      </c>
      <c r="C379" s="30">
        <v>-28</v>
      </c>
      <c r="D379" s="30">
        <v>-26</v>
      </c>
      <c r="E379" s="30">
        <v>-25</v>
      </c>
      <c r="F379" s="30">
        <v>-12</v>
      </c>
      <c r="G379" s="30">
        <v>-40</v>
      </c>
      <c r="H379" s="30">
        <v>5.6</v>
      </c>
      <c r="I379" s="30">
        <v>136</v>
      </c>
      <c r="J379" s="30">
        <v>-5.3</v>
      </c>
      <c r="K379" s="30">
        <v>209</v>
      </c>
      <c r="L379" s="30">
        <v>-2</v>
      </c>
      <c r="M379" s="30">
        <v>227</v>
      </c>
      <c r="N379" s="30">
        <v>-1.1000000000000001</v>
      </c>
      <c r="O379" s="30">
        <v>86</v>
      </c>
      <c r="P379" s="30">
        <v>85</v>
      </c>
      <c r="Q379" s="30">
        <v>234</v>
      </c>
      <c r="R379" s="30" t="s">
        <v>142</v>
      </c>
      <c r="S379" s="30">
        <v>3.9</v>
      </c>
      <c r="T379" s="30">
        <v>3.4</v>
      </c>
      <c r="U379" s="34">
        <v>0</v>
      </c>
      <c r="Y379" s="31" t="s">
        <v>334</v>
      </c>
      <c r="Z379" s="30">
        <v>-7.5</v>
      </c>
      <c r="AA379" s="30">
        <v>-6.9</v>
      </c>
      <c r="AB379" s="30">
        <v>-1.8</v>
      </c>
      <c r="AC379" s="30">
        <v>5.9</v>
      </c>
      <c r="AD379" s="30">
        <v>12.4</v>
      </c>
      <c r="AE379" s="30">
        <v>15.8</v>
      </c>
      <c r="AF379" s="30">
        <v>17.399999999999999</v>
      </c>
      <c r="AG379" s="30">
        <v>16</v>
      </c>
      <c r="AH379" s="30">
        <v>10.7</v>
      </c>
      <c r="AI379" s="30">
        <v>5</v>
      </c>
      <c r="AJ379" s="30">
        <v>-0.8</v>
      </c>
      <c r="AK379" s="30">
        <v>-5.2</v>
      </c>
      <c r="AL379" s="30">
        <v>5.0999999999999996</v>
      </c>
    </row>
    <row r="380" spans="1:38" ht="25.5" x14ac:dyDescent="0.25">
      <c r="A380" s="33" t="s">
        <v>333</v>
      </c>
      <c r="B380" s="70"/>
      <c r="C380" s="70"/>
      <c r="D380" s="70"/>
      <c r="E380" s="70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  <c r="U380" s="34"/>
      <c r="Y380" s="33" t="s">
        <v>333</v>
      </c>
      <c r="Z380" s="70"/>
      <c r="AA380" s="70"/>
      <c r="AB380" s="70"/>
      <c r="AC380" s="70"/>
      <c r="AD380" s="70"/>
      <c r="AE380" s="70"/>
      <c r="AF380" s="70"/>
      <c r="AG380" s="70"/>
      <c r="AH380" s="70"/>
      <c r="AI380" s="70"/>
      <c r="AJ380" s="70"/>
      <c r="AK380" s="70"/>
      <c r="AL380" s="70"/>
    </row>
    <row r="381" spans="1:38" x14ac:dyDescent="0.25">
      <c r="A381" s="31" t="s">
        <v>332</v>
      </c>
      <c r="B381" s="30">
        <v>-30</v>
      </c>
      <c r="C381" s="30">
        <v>-26</v>
      </c>
      <c r="D381" s="30">
        <v>-25</v>
      </c>
      <c r="E381" s="30">
        <v>-22</v>
      </c>
      <c r="F381" s="30">
        <v>-10</v>
      </c>
      <c r="G381" s="30">
        <v>-37</v>
      </c>
      <c r="H381" s="30">
        <v>6.2</v>
      </c>
      <c r="I381" s="30">
        <v>88</v>
      </c>
      <c r="J381" s="30">
        <v>-3</v>
      </c>
      <c r="K381" s="30">
        <v>163</v>
      </c>
      <c r="L381" s="30">
        <v>0.1</v>
      </c>
      <c r="M381" s="30">
        <v>180</v>
      </c>
      <c r="N381" s="30">
        <v>1</v>
      </c>
      <c r="O381" s="30">
        <v>86</v>
      </c>
      <c r="P381" s="30">
        <v>83</v>
      </c>
      <c r="Q381" s="30">
        <v>115</v>
      </c>
      <c r="R381" s="30" t="s">
        <v>146</v>
      </c>
      <c r="S381" s="30">
        <v>4.5999999999999996</v>
      </c>
      <c r="T381" s="30">
        <v>3.1</v>
      </c>
      <c r="U381" s="34">
        <v>0</v>
      </c>
      <c r="V381" s="29" t="s">
        <v>246</v>
      </c>
      <c r="Y381" s="31" t="s">
        <v>332</v>
      </c>
      <c r="Z381" s="30">
        <v>-4.9000000000000004</v>
      </c>
      <c r="AA381" s="30">
        <v>-3.6</v>
      </c>
      <c r="AB381" s="30">
        <v>1.6</v>
      </c>
      <c r="AC381" s="30">
        <v>10.3</v>
      </c>
      <c r="AD381" s="30">
        <v>17.399999999999999</v>
      </c>
      <c r="AE381" s="30">
        <v>22</v>
      </c>
      <c r="AF381" s="30">
        <v>25</v>
      </c>
      <c r="AG381" s="30">
        <v>23.7</v>
      </c>
      <c r="AH381" s="30">
        <v>17.8</v>
      </c>
      <c r="AI381" s="30">
        <v>10.1</v>
      </c>
      <c r="AJ381" s="30">
        <v>4</v>
      </c>
      <c r="AK381" s="30">
        <v>-1.3</v>
      </c>
      <c r="AL381" s="30">
        <v>10.199999999999999</v>
      </c>
    </row>
    <row r="382" spans="1:38" x14ac:dyDescent="0.25">
      <c r="A382" s="31" t="s">
        <v>331</v>
      </c>
      <c r="B382" s="30">
        <v>-22</v>
      </c>
      <c r="C382" s="30">
        <v>-20</v>
      </c>
      <c r="D382" s="30">
        <v>-18</v>
      </c>
      <c r="E382" s="30">
        <v>-16</v>
      </c>
      <c r="F382" s="30">
        <v>-6</v>
      </c>
      <c r="G382" s="30">
        <v>-29</v>
      </c>
      <c r="H382" s="30">
        <v>9.4</v>
      </c>
      <c r="I382" s="30">
        <v>91</v>
      </c>
      <c r="J382" s="30">
        <v>-2.4</v>
      </c>
      <c r="K382" s="30">
        <v>179</v>
      </c>
      <c r="L382" s="30">
        <v>0.4</v>
      </c>
      <c r="M382" s="30">
        <v>201</v>
      </c>
      <c r="N382" s="30">
        <v>1.6</v>
      </c>
      <c r="O382" s="30">
        <v>70</v>
      </c>
      <c r="P382" s="30">
        <v>56</v>
      </c>
      <c r="Q382" s="30" t="s">
        <v>41</v>
      </c>
      <c r="R382" s="30" t="s">
        <v>150</v>
      </c>
      <c r="S382" s="30" t="s">
        <v>41</v>
      </c>
      <c r="T382" s="30">
        <v>2.2999999999999998</v>
      </c>
      <c r="U382" s="34">
        <v>0</v>
      </c>
      <c r="V382" s="29" t="s">
        <v>246</v>
      </c>
      <c r="Y382" s="31" t="s">
        <v>331</v>
      </c>
      <c r="Z382" s="30">
        <v>-3.3</v>
      </c>
      <c r="AA382" s="30">
        <v>-2.4</v>
      </c>
      <c r="AB382" s="30">
        <v>1.5</v>
      </c>
      <c r="AC382" s="30">
        <v>8</v>
      </c>
      <c r="AD382" s="30">
        <v>13</v>
      </c>
      <c r="AE382" s="30">
        <v>16.2</v>
      </c>
      <c r="AF382" s="30">
        <v>18.600000000000001</v>
      </c>
      <c r="AG382" s="30">
        <v>18.2</v>
      </c>
      <c r="AH382" s="30">
        <v>13.9</v>
      </c>
      <c r="AI382" s="30">
        <v>8.3000000000000007</v>
      </c>
      <c r="AJ382" s="30">
        <v>3.2</v>
      </c>
      <c r="AK382" s="30">
        <v>-1.1000000000000001</v>
      </c>
      <c r="AL382" s="30">
        <v>7.7</v>
      </c>
    </row>
    <row r="383" spans="1:38" x14ac:dyDescent="0.25">
      <c r="A383" s="31" t="s">
        <v>330</v>
      </c>
      <c r="B383" s="30">
        <v>-23</v>
      </c>
      <c r="C383" s="30">
        <v>-21</v>
      </c>
      <c r="D383" s="30">
        <v>-20</v>
      </c>
      <c r="E383" s="30">
        <v>-18</v>
      </c>
      <c r="F383" s="30">
        <v>-6</v>
      </c>
      <c r="G383" s="30">
        <v>-36</v>
      </c>
      <c r="H383" s="30">
        <v>8</v>
      </c>
      <c r="I383" s="30">
        <v>92</v>
      </c>
      <c r="J383" s="30">
        <v>-3.2</v>
      </c>
      <c r="K383" s="30">
        <v>168</v>
      </c>
      <c r="L383" s="30">
        <v>0.1</v>
      </c>
      <c r="M383" s="30">
        <v>186</v>
      </c>
      <c r="N383" s="30">
        <v>1</v>
      </c>
      <c r="O383" s="30">
        <v>84</v>
      </c>
      <c r="P383" s="30">
        <v>81</v>
      </c>
      <c r="Q383" s="30">
        <v>152</v>
      </c>
      <c r="R383" s="30" t="s">
        <v>146</v>
      </c>
      <c r="S383" s="30" t="s">
        <v>41</v>
      </c>
      <c r="T383" s="30">
        <v>4.0999999999999996</v>
      </c>
      <c r="U383" s="34">
        <v>0</v>
      </c>
      <c r="V383" s="29" t="s">
        <v>246</v>
      </c>
      <c r="Y383" s="31" t="s">
        <v>330</v>
      </c>
      <c r="Z383" s="30">
        <v>-4.5</v>
      </c>
      <c r="AA383" s="30">
        <v>-3.3</v>
      </c>
      <c r="AB383" s="30">
        <v>1.8</v>
      </c>
      <c r="AC383" s="30">
        <v>9.6999999999999993</v>
      </c>
      <c r="AD383" s="30">
        <v>15.6</v>
      </c>
      <c r="AE383" s="30">
        <v>19.399999999999999</v>
      </c>
      <c r="AF383" s="30">
        <v>22.1</v>
      </c>
      <c r="AG383" s="30">
        <v>21.5</v>
      </c>
      <c r="AH383" s="30">
        <v>16.399999999999999</v>
      </c>
      <c r="AI383" s="30">
        <v>9.8000000000000007</v>
      </c>
      <c r="AJ383" s="30">
        <v>3.9</v>
      </c>
      <c r="AK383" s="30">
        <v>-1.5</v>
      </c>
      <c r="AL383" s="30">
        <v>9.1999999999999993</v>
      </c>
    </row>
    <row r="384" spans="1:38" x14ac:dyDescent="0.25">
      <c r="A384" s="31" t="s">
        <v>329</v>
      </c>
      <c r="B384" s="30">
        <v>-26</v>
      </c>
      <c r="C384" s="30">
        <v>-23</v>
      </c>
      <c r="D384" s="30">
        <v>-22</v>
      </c>
      <c r="E384" s="30">
        <v>-20</v>
      </c>
      <c r="F384" s="30">
        <v>-7</v>
      </c>
      <c r="G384" s="30">
        <v>-33</v>
      </c>
      <c r="H384" s="30">
        <v>8.3000000000000007</v>
      </c>
      <c r="I384" s="30">
        <v>97</v>
      </c>
      <c r="J384" s="30">
        <v>-2.7</v>
      </c>
      <c r="K384" s="30">
        <v>175</v>
      </c>
      <c r="L384" s="30">
        <v>0.2</v>
      </c>
      <c r="M384" s="30">
        <v>191</v>
      </c>
      <c r="N384" s="30">
        <v>0.9</v>
      </c>
      <c r="O384" s="30">
        <v>83</v>
      </c>
      <c r="P384" s="30">
        <v>73</v>
      </c>
      <c r="Q384" s="30">
        <v>114</v>
      </c>
      <c r="R384" s="30" t="s">
        <v>146</v>
      </c>
      <c r="S384" s="30">
        <v>6.3</v>
      </c>
      <c r="T384" s="30">
        <v>3.4</v>
      </c>
      <c r="U384" s="34">
        <v>0</v>
      </c>
      <c r="V384" s="29" t="s">
        <v>246</v>
      </c>
      <c r="Y384" s="31" t="s">
        <v>329</v>
      </c>
      <c r="Z384" s="30">
        <v>-4.2</v>
      </c>
      <c r="AA384" s="30">
        <v>-3</v>
      </c>
      <c r="AB384" s="30">
        <v>1.1000000000000001</v>
      </c>
      <c r="AC384" s="30">
        <v>8.9</v>
      </c>
      <c r="AD384" s="30">
        <v>14.6</v>
      </c>
      <c r="AE384" s="30">
        <v>18.3</v>
      </c>
      <c r="AF384" s="30">
        <v>21.1</v>
      </c>
      <c r="AG384" s="30">
        <v>20.5</v>
      </c>
      <c r="AH384" s="30">
        <v>15.5</v>
      </c>
      <c r="AI384" s="30">
        <v>8.9</v>
      </c>
      <c r="AJ384" s="30">
        <v>3.2</v>
      </c>
      <c r="AK384" s="30">
        <v>-1.4</v>
      </c>
      <c r="AL384" s="30">
        <v>8.6</v>
      </c>
    </row>
    <row r="385" spans="1:38" x14ac:dyDescent="0.25">
      <c r="A385" s="31" t="s">
        <v>902</v>
      </c>
      <c r="B385" s="30">
        <v>-25</v>
      </c>
      <c r="C385" s="30">
        <v>-23</v>
      </c>
      <c r="D385" s="30">
        <v>-22</v>
      </c>
      <c r="E385" s="30">
        <v>-18</v>
      </c>
      <c r="F385" s="30">
        <v>-6</v>
      </c>
      <c r="G385" s="30">
        <v>-31</v>
      </c>
      <c r="H385" s="30">
        <v>6.6</v>
      </c>
      <c r="I385" s="30">
        <v>91</v>
      </c>
      <c r="J385" s="30">
        <v>-2.2000000000000002</v>
      </c>
      <c r="K385" s="30">
        <v>168</v>
      </c>
      <c r="L385" s="30">
        <v>0.5</v>
      </c>
      <c r="M385" s="30">
        <v>185</v>
      </c>
      <c r="N385" s="30">
        <v>1.3</v>
      </c>
      <c r="O385" s="30">
        <v>84</v>
      </c>
      <c r="P385" s="30">
        <v>78</v>
      </c>
      <c r="Q385" s="30">
        <v>159</v>
      </c>
      <c r="R385" s="30" t="s">
        <v>146</v>
      </c>
      <c r="S385" s="30">
        <v>7.4</v>
      </c>
      <c r="T385" s="30">
        <v>4</v>
      </c>
      <c r="U385" s="34">
        <v>0</v>
      </c>
      <c r="V385" s="29" t="s">
        <v>246</v>
      </c>
      <c r="Y385" s="31" t="s">
        <v>328</v>
      </c>
      <c r="Z385" s="30">
        <v>-2.9</v>
      </c>
      <c r="AA385" s="30">
        <v>-2.4</v>
      </c>
      <c r="AB385" s="30">
        <v>2.2000000000000002</v>
      </c>
      <c r="AC385" s="30">
        <v>9.8000000000000007</v>
      </c>
      <c r="AD385" s="30">
        <v>15</v>
      </c>
      <c r="AE385" s="30">
        <v>19</v>
      </c>
      <c r="AF385" s="30">
        <v>22.1</v>
      </c>
      <c r="AG385" s="30">
        <v>21.4</v>
      </c>
      <c r="AH385" s="30">
        <v>16.2</v>
      </c>
      <c r="AI385" s="30">
        <v>9.8000000000000007</v>
      </c>
      <c r="AJ385" s="30">
        <v>3.7</v>
      </c>
      <c r="AK385" s="30">
        <v>-0.7</v>
      </c>
      <c r="AL385" s="30">
        <v>9.4</v>
      </c>
    </row>
    <row r="386" spans="1:38" x14ac:dyDescent="0.25">
      <c r="A386" s="33" t="s">
        <v>327</v>
      </c>
      <c r="B386" s="70"/>
      <c r="C386" s="70"/>
      <c r="D386" s="70"/>
      <c r="E386" s="70"/>
      <c r="F386" s="70"/>
      <c r="G386" s="70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  <c r="U386" s="34"/>
      <c r="Y386" s="33" t="s">
        <v>327</v>
      </c>
      <c r="Z386" s="70"/>
      <c r="AA386" s="70"/>
      <c r="AB386" s="70"/>
      <c r="AC386" s="70"/>
      <c r="AD386" s="70"/>
      <c r="AE386" s="70"/>
      <c r="AF386" s="70"/>
      <c r="AG386" s="70"/>
      <c r="AH386" s="70"/>
      <c r="AI386" s="70"/>
      <c r="AJ386" s="70"/>
      <c r="AK386" s="70"/>
      <c r="AL386" s="70"/>
    </row>
    <row r="387" spans="1:38" x14ac:dyDescent="0.25">
      <c r="A387" s="31" t="s">
        <v>326</v>
      </c>
      <c r="B387" s="30">
        <v>-34</v>
      </c>
      <c r="C387" s="30">
        <v>-32</v>
      </c>
      <c r="D387" s="30">
        <v>-30</v>
      </c>
      <c r="E387" s="30">
        <v>-28</v>
      </c>
      <c r="F387" s="30">
        <v>-16</v>
      </c>
      <c r="G387" s="30">
        <v>-39</v>
      </c>
      <c r="H387" s="30">
        <v>6.7</v>
      </c>
      <c r="I387" s="30">
        <v>140</v>
      </c>
      <c r="J387" s="30">
        <v>-7</v>
      </c>
      <c r="K387" s="30">
        <v>201</v>
      </c>
      <c r="L387" s="30">
        <v>-3.7</v>
      </c>
      <c r="M387" s="30">
        <v>217</v>
      </c>
      <c r="N387" s="30">
        <v>-2.7</v>
      </c>
      <c r="O387" s="30">
        <v>84</v>
      </c>
      <c r="P387" s="30">
        <v>83</v>
      </c>
      <c r="Q387" s="30">
        <v>194</v>
      </c>
      <c r="R387" s="30" t="s">
        <v>185</v>
      </c>
      <c r="S387" s="30">
        <v>4.7</v>
      </c>
      <c r="T387" s="30">
        <v>4</v>
      </c>
      <c r="U387" s="32">
        <v>0</v>
      </c>
      <c r="Y387" s="31" t="s">
        <v>326</v>
      </c>
      <c r="Z387" s="30">
        <v>-10.9</v>
      </c>
      <c r="AA387" s="30">
        <v>-10.3</v>
      </c>
      <c r="AB387" s="30">
        <v>-4.5999999999999996</v>
      </c>
      <c r="AC387" s="30">
        <v>6</v>
      </c>
      <c r="AD387" s="30">
        <v>14.1</v>
      </c>
      <c r="AE387" s="30">
        <v>18.100000000000001</v>
      </c>
      <c r="AF387" s="30">
        <v>19.8</v>
      </c>
      <c r="AG387" s="30">
        <v>18.600000000000001</v>
      </c>
      <c r="AH387" s="30">
        <v>12.5</v>
      </c>
      <c r="AI387" s="30">
        <v>5.2</v>
      </c>
      <c r="AJ387" s="30">
        <v>-1.4</v>
      </c>
      <c r="AK387" s="30">
        <v>-7.3</v>
      </c>
      <c r="AL387" s="30">
        <v>5</v>
      </c>
    </row>
    <row r="388" spans="1:38" ht="25.5" x14ac:dyDescent="0.25">
      <c r="A388" s="33" t="s">
        <v>325</v>
      </c>
      <c r="B388" s="70"/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  <c r="U388" s="34"/>
      <c r="Y388" s="33" t="s">
        <v>325</v>
      </c>
      <c r="Z388" s="70"/>
      <c r="AA388" s="70"/>
      <c r="AB388" s="70"/>
      <c r="AC388" s="70"/>
      <c r="AD388" s="70"/>
      <c r="AE388" s="70"/>
      <c r="AF388" s="70"/>
      <c r="AG388" s="70"/>
      <c r="AH388" s="70"/>
      <c r="AI388" s="70"/>
      <c r="AJ388" s="70"/>
      <c r="AK388" s="70"/>
      <c r="AL388" s="70"/>
    </row>
    <row r="389" spans="1:38" x14ac:dyDescent="0.25">
      <c r="A389" s="31" t="s">
        <v>324</v>
      </c>
      <c r="B389" s="30">
        <v>-40</v>
      </c>
      <c r="C389" s="30">
        <v>-36</v>
      </c>
      <c r="D389" s="30">
        <v>-36</v>
      </c>
      <c r="E389" s="30">
        <v>-33</v>
      </c>
      <c r="F389" s="30">
        <v>-19</v>
      </c>
      <c r="G389" s="30">
        <v>-47</v>
      </c>
      <c r="H389" s="30">
        <v>6.7</v>
      </c>
      <c r="I389" s="30">
        <v>164</v>
      </c>
      <c r="J389" s="30">
        <v>-9.1999999999999993</v>
      </c>
      <c r="K389" s="30">
        <v>221</v>
      </c>
      <c r="L389" s="30">
        <v>-5.8</v>
      </c>
      <c r="M389" s="30">
        <v>235</v>
      </c>
      <c r="N389" s="30">
        <v>-4.9000000000000004</v>
      </c>
      <c r="O389" s="30">
        <v>86</v>
      </c>
      <c r="P389" s="30">
        <v>85</v>
      </c>
      <c r="Q389" s="30">
        <v>264</v>
      </c>
      <c r="R389" s="30" t="s">
        <v>155</v>
      </c>
      <c r="S389" s="30">
        <v>7.5</v>
      </c>
      <c r="T389" s="30">
        <v>5.4</v>
      </c>
      <c r="U389" s="34">
        <v>0</v>
      </c>
      <c r="Y389" s="31" t="s">
        <v>324</v>
      </c>
      <c r="Z389" s="30">
        <v>-14.3</v>
      </c>
      <c r="AA389" s="30">
        <v>-13.7</v>
      </c>
      <c r="AB389" s="30">
        <v>-8</v>
      </c>
      <c r="AC389" s="30">
        <v>2.4</v>
      </c>
      <c r="AD389" s="30">
        <v>11.4</v>
      </c>
      <c r="AE389" s="30">
        <v>16.3</v>
      </c>
      <c r="AF389" s="30">
        <v>18.100000000000001</v>
      </c>
      <c r="AG389" s="30">
        <v>16.399999999999999</v>
      </c>
      <c r="AH389" s="30">
        <v>10.199999999999999</v>
      </c>
      <c r="AI389" s="30">
        <v>2.1</v>
      </c>
      <c r="AJ389" s="30">
        <v>-5.8</v>
      </c>
      <c r="AK389" s="30">
        <v>-11.6</v>
      </c>
      <c r="AL389" s="30">
        <v>2</v>
      </c>
    </row>
    <row r="390" spans="1:38" x14ac:dyDescent="0.25">
      <c r="A390" s="31" t="s">
        <v>903</v>
      </c>
      <c r="B390" s="30">
        <v>-40</v>
      </c>
      <c r="C390" s="30">
        <v>-36</v>
      </c>
      <c r="D390" s="30">
        <v>-34</v>
      </c>
      <c r="E390" s="30">
        <v>-32</v>
      </c>
      <c r="F390" s="30">
        <v>-17</v>
      </c>
      <c r="G390" s="30">
        <v>-47</v>
      </c>
      <c r="H390" s="30">
        <v>7.1</v>
      </c>
      <c r="I390" s="30">
        <v>152</v>
      </c>
      <c r="J390" s="30">
        <v>-8.6999999999999993</v>
      </c>
      <c r="K390" s="30">
        <v>209</v>
      </c>
      <c r="L390" s="30">
        <v>-5.2</v>
      </c>
      <c r="M390" s="30">
        <v>223</v>
      </c>
      <c r="N390" s="30">
        <v>-4.3</v>
      </c>
      <c r="O390" s="30">
        <v>82</v>
      </c>
      <c r="P390" s="30">
        <v>81</v>
      </c>
      <c r="Q390" s="30">
        <v>177</v>
      </c>
      <c r="R390" s="30" t="s">
        <v>155</v>
      </c>
      <c r="S390" s="30">
        <v>4.0999999999999996</v>
      </c>
      <c r="T390" s="30">
        <v>3.1</v>
      </c>
      <c r="U390" s="34">
        <v>0</v>
      </c>
      <c r="Y390" s="31" t="s">
        <v>323</v>
      </c>
      <c r="Z390" s="30">
        <v>-12.4</v>
      </c>
      <c r="AA390" s="30">
        <v>-11.7</v>
      </c>
      <c r="AB390" s="30">
        <v>-4.2</v>
      </c>
      <c r="AC390" s="30">
        <v>5.2</v>
      </c>
      <c r="AD390" s="30">
        <v>13.2</v>
      </c>
      <c r="AE390" s="30">
        <v>17.5</v>
      </c>
      <c r="AF390" s="30">
        <v>19.8</v>
      </c>
      <c r="AG390" s="30">
        <v>17.2</v>
      </c>
      <c r="AH390" s="30">
        <v>11.4</v>
      </c>
      <c r="AI390" s="30">
        <v>3.9</v>
      </c>
      <c r="AJ390" s="30">
        <v>-3.6</v>
      </c>
      <c r="AK390" s="30">
        <v>-10</v>
      </c>
      <c r="AL390" s="30">
        <v>3.9</v>
      </c>
    </row>
    <row r="391" spans="1:38" x14ac:dyDescent="0.25">
      <c r="A391" s="31" t="s">
        <v>904</v>
      </c>
      <c r="B391" s="30">
        <v>-41</v>
      </c>
      <c r="C391" s="30">
        <v>-33</v>
      </c>
      <c r="D391" s="30">
        <v>-33</v>
      </c>
      <c r="E391" s="30">
        <v>-31</v>
      </c>
      <c r="F391" s="30">
        <v>-16</v>
      </c>
      <c r="G391" s="30">
        <v>-47</v>
      </c>
      <c r="H391" s="30">
        <v>6.5</v>
      </c>
      <c r="I391" s="30">
        <v>151</v>
      </c>
      <c r="J391" s="30">
        <v>-8.1</v>
      </c>
      <c r="K391" s="30">
        <v>208</v>
      </c>
      <c r="L391" s="30">
        <v>-4.8</v>
      </c>
      <c r="M391" s="30">
        <v>223</v>
      </c>
      <c r="N391" s="30">
        <v>-3.8</v>
      </c>
      <c r="O391" s="30">
        <v>83</v>
      </c>
      <c r="P391" s="30">
        <v>82</v>
      </c>
      <c r="Q391" s="30">
        <v>171</v>
      </c>
      <c r="R391" s="30" t="s">
        <v>150</v>
      </c>
      <c r="S391" s="30">
        <v>3.8</v>
      </c>
      <c r="T391" s="30">
        <v>3.4</v>
      </c>
      <c r="U391" s="34">
        <v>0</v>
      </c>
      <c r="Y391" s="31" t="s">
        <v>322</v>
      </c>
      <c r="Z391" s="30">
        <v>-11.6</v>
      </c>
      <c r="AA391" s="30">
        <v>-10.9</v>
      </c>
      <c r="AB391" s="30">
        <v>-4.3</v>
      </c>
      <c r="AC391" s="30">
        <v>5.3</v>
      </c>
      <c r="AD391" s="30">
        <v>13.2</v>
      </c>
      <c r="AE391" s="30">
        <v>17.600000000000001</v>
      </c>
      <c r="AF391" s="30">
        <v>19.7</v>
      </c>
      <c r="AG391" s="30">
        <v>17.399999999999999</v>
      </c>
      <c r="AH391" s="30">
        <v>11.5</v>
      </c>
      <c r="AI391" s="30">
        <v>4.2</v>
      </c>
      <c r="AJ391" s="30">
        <v>-3.2</v>
      </c>
      <c r="AK391" s="30">
        <v>-8.9</v>
      </c>
      <c r="AL391" s="30">
        <v>4.2</v>
      </c>
    </row>
    <row r="392" spans="1:38" x14ac:dyDescent="0.25">
      <c r="A392" s="33" t="s">
        <v>321</v>
      </c>
      <c r="B392" s="70"/>
      <c r="C392" s="70"/>
      <c r="D392" s="70"/>
      <c r="E392" s="70"/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  <c r="U392" s="34"/>
      <c r="Y392" s="33" t="s">
        <v>321</v>
      </c>
      <c r="Z392" s="70"/>
      <c r="AA392" s="70"/>
      <c r="AB392" s="70"/>
      <c r="AC392" s="70"/>
      <c r="AD392" s="70"/>
      <c r="AE392" s="70"/>
      <c r="AF392" s="70"/>
      <c r="AG392" s="70"/>
      <c r="AH392" s="70"/>
      <c r="AI392" s="70"/>
      <c r="AJ392" s="70"/>
      <c r="AK392" s="70"/>
      <c r="AL392" s="70"/>
    </row>
    <row r="393" spans="1:38" x14ac:dyDescent="0.25">
      <c r="A393" s="31" t="s">
        <v>320</v>
      </c>
      <c r="B393" s="30">
        <v>-38</v>
      </c>
      <c r="C393" s="30">
        <v>-34</v>
      </c>
      <c r="D393" s="30">
        <v>-34</v>
      </c>
      <c r="E393" s="30">
        <v>-31</v>
      </c>
      <c r="F393" s="30">
        <v>-16</v>
      </c>
      <c r="G393" s="30">
        <v>-52</v>
      </c>
      <c r="H393" s="30">
        <v>6.8</v>
      </c>
      <c r="I393" s="30">
        <v>151</v>
      </c>
      <c r="J393" s="30">
        <v>-6.8</v>
      </c>
      <c r="K393" s="30">
        <v>222</v>
      </c>
      <c r="L393" s="30">
        <v>-3.4</v>
      </c>
      <c r="M393" s="30">
        <v>240</v>
      </c>
      <c r="N393" s="30">
        <v>-2.4</v>
      </c>
      <c r="O393" s="30">
        <v>84</v>
      </c>
      <c r="P393" s="30">
        <v>84</v>
      </c>
      <c r="Q393" s="30">
        <v>169</v>
      </c>
      <c r="R393" s="30" t="s">
        <v>155</v>
      </c>
      <c r="S393" s="30">
        <v>5</v>
      </c>
      <c r="T393" s="30">
        <v>4</v>
      </c>
      <c r="U393" s="34">
        <v>0</v>
      </c>
      <c r="Y393" s="31" t="s">
        <v>320</v>
      </c>
      <c r="Z393" s="30">
        <v>-10.7</v>
      </c>
      <c r="AA393" s="30">
        <v>-10.199999999999999</v>
      </c>
      <c r="AB393" s="30">
        <v>-5.2</v>
      </c>
      <c r="AC393" s="30">
        <v>3.2</v>
      </c>
      <c r="AD393" s="30">
        <v>10.8</v>
      </c>
      <c r="AE393" s="30">
        <v>15.2</v>
      </c>
      <c r="AF393" s="30">
        <v>17.100000000000001</v>
      </c>
      <c r="AG393" s="30">
        <v>15.4</v>
      </c>
      <c r="AH393" s="30">
        <v>9.8000000000000007</v>
      </c>
      <c r="AI393" s="30">
        <v>3.6</v>
      </c>
      <c r="AJ393" s="30">
        <v>-2.2999999999999998</v>
      </c>
      <c r="AK393" s="30">
        <v>-7.7</v>
      </c>
      <c r="AL393" s="30">
        <v>3.2</v>
      </c>
    </row>
    <row r="394" spans="1:38" x14ac:dyDescent="0.25">
      <c r="A394" s="31" t="s">
        <v>318</v>
      </c>
      <c r="B394" s="30">
        <v>-37</v>
      </c>
      <c r="C394" s="30">
        <v>-33</v>
      </c>
      <c r="D394" s="30">
        <v>-31</v>
      </c>
      <c r="E394" s="30">
        <v>-28</v>
      </c>
      <c r="F394" s="30">
        <v>-15</v>
      </c>
      <c r="G394" s="30">
        <v>-47</v>
      </c>
      <c r="H394" s="30">
        <v>6.6</v>
      </c>
      <c r="I394" s="30">
        <v>144</v>
      </c>
      <c r="J394" s="30">
        <v>-6.1</v>
      </c>
      <c r="K394" s="30">
        <v>217</v>
      </c>
      <c r="L394" s="30">
        <v>-2.7</v>
      </c>
      <c r="M394" s="30">
        <v>236</v>
      </c>
      <c r="N394" s="30">
        <v>-1.8</v>
      </c>
      <c r="O394" s="30">
        <v>85</v>
      </c>
      <c r="P394" s="30">
        <v>85</v>
      </c>
      <c r="Q394" s="30">
        <v>210</v>
      </c>
      <c r="R394" s="30" t="s">
        <v>150</v>
      </c>
      <c r="S394" s="30" t="s">
        <v>41</v>
      </c>
      <c r="T394" s="30">
        <v>3.6</v>
      </c>
      <c r="U394" s="34">
        <v>0</v>
      </c>
      <c r="Y394" s="31" t="s">
        <v>319</v>
      </c>
      <c r="Z394" s="30">
        <v>-10.5</v>
      </c>
      <c r="AA394" s="30">
        <v>-9.4</v>
      </c>
      <c r="AB394" s="30">
        <v>-4.5999999999999996</v>
      </c>
      <c r="AC394" s="30">
        <v>4.0999999999999996</v>
      </c>
      <c r="AD394" s="30">
        <v>11.2</v>
      </c>
      <c r="AE394" s="30">
        <v>15.7</v>
      </c>
      <c r="AF394" s="30">
        <v>17.3</v>
      </c>
      <c r="AG394" s="30">
        <v>15.8</v>
      </c>
      <c r="AH394" s="30">
        <v>10.199999999999999</v>
      </c>
      <c r="AI394" s="30">
        <v>4</v>
      </c>
      <c r="AJ394" s="30">
        <v>-1.8</v>
      </c>
      <c r="AK394" s="30">
        <v>-6.6</v>
      </c>
      <c r="AL394" s="30">
        <v>3.8</v>
      </c>
    </row>
    <row r="395" spans="1:38" x14ac:dyDescent="0.25">
      <c r="A395" s="31" t="s">
        <v>319</v>
      </c>
      <c r="B395" s="30">
        <v>-37</v>
      </c>
      <c r="C395" s="30">
        <v>-33</v>
      </c>
      <c r="D395" s="30">
        <v>-33</v>
      </c>
      <c r="E395" s="30">
        <v>-29</v>
      </c>
      <c r="F395" s="30">
        <v>-15</v>
      </c>
      <c r="G395" s="30">
        <v>-50</v>
      </c>
      <c r="H395" s="30">
        <v>7.2</v>
      </c>
      <c r="I395" s="30">
        <v>146</v>
      </c>
      <c r="J395" s="30">
        <v>-6.4</v>
      </c>
      <c r="K395" s="30">
        <v>218</v>
      </c>
      <c r="L395" s="30">
        <v>-3</v>
      </c>
      <c r="M395" s="30">
        <v>236</v>
      </c>
      <c r="N395" s="30">
        <v>-2</v>
      </c>
      <c r="O395" s="30">
        <v>85</v>
      </c>
      <c r="P395" s="30">
        <v>85</v>
      </c>
      <c r="Q395" s="30">
        <v>206</v>
      </c>
      <c r="R395" s="30" t="s">
        <v>155</v>
      </c>
      <c r="S395" s="30">
        <v>6.2</v>
      </c>
      <c r="T395" s="30">
        <v>4.0999999999999996</v>
      </c>
      <c r="U395" s="34">
        <v>0</v>
      </c>
      <c r="Y395" s="31" t="s">
        <v>318</v>
      </c>
      <c r="Z395" s="30">
        <v>-10</v>
      </c>
      <c r="AA395" s="30">
        <v>-8.9</v>
      </c>
      <c r="AB395" s="30">
        <v>-4.2</v>
      </c>
      <c r="AC395" s="30">
        <v>4.0999999999999996</v>
      </c>
      <c r="AD395" s="30">
        <v>11.2</v>
      </c>
      <c r="AE395" s="30">
        <v>15.6</v>
      </c>
      <c r="AF395" s="30">
        <v>17.100000000000001</v>
      </c>
      <c r="AG395" s="30">
        <v>15.8</v>
      </c>
      <c r="AH395" s="30">
        <v>10.3</v>
      </c>
      <c r="AI395" s="30">
        <v>4.0999999999999996</v>
      </c>
      <c r="AJ395" s="30">
        <v>-1.4</v>
      </c>
      <c r="AK395" s="30">
        <v>-6.3</v>
      </c>
      <c r="AL395" s="30">
        <v>4</v>
      </c>
    </row>
    <row r="396" spans="1:38" x14ac:dyDescent="0.25">
      <c r="A396" s="33" t="s">
        <v>317</v>
      </c>
      <c r="B396" s="70"/>
      <c r="C396" s="70"/>
      <c r="D396" s="70"/>
      <c r="E396" s="70"/>
      <c r="F396" s="70"/>
      <c r="G396" s="70"/>
      <c r="H396" s="70"/>
      <c r="I396" s="70"/>
      <c r="J396" s="70"/>
      <c r="K396" s="70"/>
      <c r="L396" s="70"/>
      <c r="M396" s="70"/>
      <c r="N396" s="70"/>
      <c r="O396" s="70"/>
      <c r="P396" s="70"/>
      <c r="Q396" s="70"/>
      <c r="R396" s="70"/>
      <c r="S396" s="70"/>
      <c r="T396" s="70"/>
      <c r="U396" s="34"/>
      <c r="Y396" s="33" t="s">
        <v>317</v>
      </c>
      <c r="Z396" s="70"/>
      <c r="AA396" s="70"/>
      <c r="AB396" s="70"/>
      <c r="AC396" s="70"/>
      <c r="AD396" s="70"/>
      <c r="AE396" s="70"/>
      <c r="AF396" s="70"/>
      <c r="AG396" s="70"/>
      <c r="AH396" s="70"/>
      <c r="AI396" s="70"/>
      <c r="AJ396" s="70"/>
      <c r="AK396" s="70"/>
      <c r="AL396" s="70"/>
    </row>
    <row r="397" spans="1:38" x14ac:dyDescent="0.25">
      <c r="A397" s="31" t="s">
        <v>905</v>
      </c>
      <c r="B397" s="30">
        <v>-49</v>
      </c>
      <c r="C397" s="30">
        <v>-46</v>
      </c>
      <c r="D397" s="30">
        <v>-44</v>
      </c>
      <c r="E397" s="30">
        <v>-43</v>
      </c>
      <c r="F397" s="30">
        <v>-25</v>
      </c>
      <c r="G397" s="30">
        <v>-53</v>
      </c>
      <c r="H397" s="30">
        <v>9</v>
      </c>
      <c r="I397" s="30">
        <v>196</v>
      </c>
      <c r="J397" s="30">
        <v>-13.4</v>
      </c>
      <c r="K397" s="30">
        <v>252</v>
      </c>
      <c r="L397" s="30">
        <v>-9.5</v>
      </c>
      <c r="M397" s="30">
        <v>269</v>
      </c>
      <c r="N397" s="30">
        <v>-8.4</v>
      </c>
      <c r="O397" s="30">
        <v>81</v>
      </c>
      <c r="P397" s="30">
        <v>81</v>
      </c>
      <c r="Q397" s="30">
        <v>114</v>
      </c>
      <c r="R397" s="30" t="s">
        <v>155</v>
      </c>
      <c r="S397" s="30">
        <v>3.9</v>
      </c>
      <c r="T397" s="30">
        <v>3.5</v>
      </c>
      <c r="U397" s="34">
        <v>2</v>
      </c>
      <c r="Y397" s="31" t="s">
        <v>316</v>
      </c>
      <c r="Z397" s="30">
        <v>-21.2</v>
      </c>
      <c r="AA397" s="30">
        <v>-19.3</v>
      </c>
      <c r="AB397" s="30">
        <v>-9.9</v>
      </c>
      <c r="AC397" s="30">
        <v>-2.2999999999999998</v>
      </c>
      <c r="AD397" s="30">
        <v>6</v>
      </c>
      <c r="AE397" s="30">
        <v>14.3</v>
      </c>
      <c r="AF397" s="30">
        <v>18.100000000000001</v>
      </c>
      <c r="AG397" s="30">
        <v>14</v>
      </c>
      <c r="AH397" s="30">
        <v>7.6</v>
      </c>
      <c r="AI397" s="30">
        <v>-0.9</v>
      </c>
      <c r="AJ397" s="30">
        <v>-11.6</v>
      </c>
      <c r="AK397" s="30">
        <v>-18.3</v>
      </c>
      <c r="AL397" s="30">
        <v>-2</v>
      </c>
    </row>
    <row r="398" spans="1:38" x14ac:dyDescent="0.25">
      <c r="A398" s="31" t="s">
        <v>906</v>
      </c>
      <c r="B398" s="30">
        <v>-47</v>
      </c>
      <c r="C398" s="30">
        <v>-45</v>
      </c>
      <c r="D398" s="30">
        <v>-43</v>
      </c>
      <c r="E398" s="30">
        <v>-42</v>
      </c>
      <c r="F398" s="30">
        <v>-24</v>
      </c>
      <c r="G398" s="30">
        <v>-51</v>
      </c>
      <c r="H398" s="30">
        <v>8.6</v>
      </c>
      <c r="I398" s="30">
        <v>185</v>
      </c>
      <c r="J398" s="30">
        <v>-12.9</v>
      </c>
      <c r="K398" s="30">
        <v>243</v>
      </c>
      <c r="L398" s="30">
        <v>-8.8000000000000007</v>
      </c>
      <c r="M398" s="30">
        <v>260</v>
      </c>
      <c r="N398" s="30">
        <v>-7.7</v>
      </c>
      <c r="O398" s="30">
        <v>80</v>
      </c>
      <c r="P398" s="30">
        <v>80</v>
      </c>
      <c r="Q398" s="30">
        <v>123</v>
      </c>
      <c r="R398" s="30" t="s">
        <v>150</v>
      </c>
      <c r="S398" s="30">
        <v>3.1</v>
      </c>
      <c r="T398" s="30">
        <v>2.9</v>
      </c>
      <c r="U398" s="34">
        <v>2</v>
      </c>
      <c r="Y398" s="31" t="s">
        <v>315</v>
      </c>
      <c r="Z398" s="30">
        <v>-20</v>
      </c>
      <c r="AA398" s="30">
        <v>-17.7</v>
      </c>
      <c r="AB398" s="30">
        <v>-8.8000000000000007</v>
      </c>
      <c r="AC398" s="30">
        <v>-0.5</v>
      </c>
      <c r="AD398" s="30">
        <v>7.9</v>
      </c>
      <c r="AE398" s="30">
        <v>15.4</v>
      </c>
      <c r="AF398" s="30">
        <v>18.5</v>
      </c>
      <c r="AG398" s="30">
        <v>14.6</v>
      </c>
      <c r="AH398" s="30">
        <v>8.1999999999999993</v>
      </c>
      <c r="AI398" s="30">
        <v>0.2</v>
      </c>
      <c r="AJ398" s="30">
        <v>-10.199999999999999</v>
      </c>
      <c r="AK398" s="30">
        <v>-17.3</v>
      </c>
      <c r="AL398" s="30">
        <v>-0.8</v>
      </c>
    </row>
    <row r="399" spans="1:38" x14ac:dyDescent="0.25">
      <c r="A399" s="31" t="s">
        <v>907</v>
      </c>
      <c r="B399" s="30">
        <v>-47</v>
      </c>
      <c r="C399" s="30">
        <v>-46</v>
      </c>
      <c r="D399" s="30">
        <v>-44</v>
      </c>
      <c r="E399" s="30">
        <v>-41</v>
      </c>
      <c r="F399" s="30">
        <v>-23</v>
      </c>
      <c r="G399" s="30">
        <v>-51</v>
      </c>
      <c r="H399" s="30">
        <v>8.6</v>
      </c>
      <c r="I399" s="30">
        <v>185</v>
      </c>
      <c r="J399" s="30">
        <v>-12.8</v>
      </c>
      <c r="K399" s="30">
        <v>243</v>
      </c>
      <c r="L399" s="30">
        <v>-8.8000000000000007</v>
      </c>
      <c r="M399" s="30">
        <v>260</v>
      </c>
      <c r="N399" s="30">
        <v>-7.6</v>
      </c>
      <c r="O399" s="30">
        <v>81</v>
      </c>
      <c r="P399" s="30">
        <v>80</v>
      </c>
      <c r="Q399" s="30">
        <v>136</v>
      </c>
      <c r="R399" s="30" t="s">
        <v>150</v>
      </c>
      <c r="S399" s="30">
        <v>3.2</v>
      </c>
      <c r="T399" s="30">
        <v>2.7</v>
      </c>
      <c r="U399" s="34">
        <v>2</v>
      </c>
      <c r="Y399" s="31" t="s">
        <v>314</v>
      </c>
      <c r="Z399" s="30">
        <v>-19.8</v>
      </c>
      <c r="AA399" s="30">
        <v>-17.7</v>
      </c>
      <c r="AB399" s="30">
        <v>-8.3000000000000007</v>
      </c>
      <c r="AC399" s="30">
        <v>-0.3</v>
      </c>
      <c r="AD399" s="30">
        <v>7.7</v>
      </c>
      <c r="AE399" s="30">
        <v>15.2</v>
      </c>
      <c r="AF399" s="30">
        <v>18.5</v>
      </c>
      <c r="AG399" s="30">
        <v>14.4</v>
      </c>
      <c r="AH399" s="30">
        <v>8.1999999999999993</v>
      </c>
      <c r="AI399" s="30">
        <v>0.1</v>
      </c>
      <c r="AJ399" s="30">
        <v>-10.5</v>
      </c>
      <c r="AK399" s="30">
        <v>-17.2</v>
      </c>
      <c r="AL399" s="30">
        <v>-0.8</v>
      </c>
    </row>
    <row r="400" spans="1:38" x14ac:dyDescent="0.25">
      <c r="A400" s="31" t="s">
        <v>908</v>
      </c>
      <c r="B400" s="30">
        <v>-44</v>
      </c>
      <c r="C400" s="30">
        <v>-43</v>
      </c>
      <c r="D400" s="30">
        <v>-41</v>
      </c>
      <c r="E400" s="30">
        <v>-39</v>
      </c>
      <c r="F400" s="30">
        <v>-22</v>
      </c>
      <c r="G400" s="30">
        <v>-55</v>
      </c>
      <c r="H400" s="30">
        <v>8.1999999999999993</v>
      </c>
      <c r="I400" s="30">
        <v>176</v>
      </c>
      <c r="J400" s="30">
        <v>-11.8</v>
      </c>
      <c r="K400" s="30">
        <v>233</v>
      </c>
      <c r="L400" s="30">
        <v>-7.9</v>
      </c>
      <c r="M400" s="30">
        <v>249</v>
      </c>
      <c r="N400" s="30">
        <v>-6.8</v>
      </c>
      <c r="O400" s="30">
        <v>79</v>
      </c>
      <c r="P400" s="30">
        <v>78</v>
      </c>
      <c r="Q400" s="30">
        <v>171</v>
      </c>
      <c r="R400" s="30" t="s">
        <v>150</v>
      </c>
      <c r="S400" s="30">
        <v>2.4</v>
      </c>
      <c r="T400" s="30">
        <v>2.2000000000000002</v>
      </c>
      <c r="U400" s="34">
        <v>2</v>
      </c>
      <c r="Y400" s="31" t="s">
        <v>313</v>
      </c>
      <c r="Z400" s="30">
        <v>-17.899999999999999</v>
      </c>
      <c r="AA400" s="30">
        <v>-15.7</v>
      </c>
      <c r="AB400" s="30">
        <v>-7.7</v>
      </c>
      <c r="AC400" s="30">
        <v>1.2</v>
      </c>
      <c r="AD400" s="30">
        <v>9.6999999999999993</v>
      </c>
      <c r="AE400" s="30">
        <v>15.9</v>
      </c>
      <c r="AF400" s="30">
        <v>18.7</v>
      </c>
      <c r="AG400" s="30">
        <v>15.3</v>
      </c>
      <c r="AH400" s="30">
        <v>9</v>
      </c>
      <c r="AI400" s="30">
        <v>1.3</v>
      </c>
      <c r="AJ400" s="30">
        <v>-8.5</v>
      </c>
      <c r="AK400" s="30">
        <v>-15.4</v>
      </c>
      <c r="AL400" s="30">
        <v>0.5</v>
      </c>
    </row>
    <row r="401" spans="1:38" x14ac:dyDescent="0.25">
      <c r="A401" s="31" t="s">
        <v>909</v>
      </c>
      <c r="B401" s="30">
        <v>-48</v>
      </c>
      <c r="C401" s="30">
        <v>-47</v>
      </c>
      <c r="D401" s="30">
        <v>-44</v>
      </c>
      <c r="E401" s="30">
        <v>-43</v>
      </c>
      <c r="F401" s="30">
        <v>-25</v>
      </c>
      <c r="G401" s="30">
        <v>-52</v>
      </c>
      <c r="H401" s="30">
        <v>9</v>
      </c>
      <c r="I401" s="30">
        <v>190</v>
      </c>
      <c r="J401" s="30">
        <v>-13.5</v>
      </c>
      <c r="K401" s="30">
        <v>249</v>
      </c>
      <c r="L401" s="30">
        <v>-9.3000000000000007</v>
      </c>
      <c r="M401" s="30">
        <v>264</v>
      </c>
      <c r="N401" s="30">
        <v>-8.3000000000000007</v>
      </c>
      <c r="O401" s="30">
        <v>80</v>
      </c>
      <c r="P401" s="30">
        <v>80</v>
      </c>
      <c r="Q401" s="30">
        <v>155</v>
      </c>
      <c r="R401" s="30" t="s">
        <v>150</v>
      </c>
      <c r="S401" s="30">
        <v>2.8</v>
      </c>
      <c r="T401" s="30">
        <v>2.2000000000000002</v>
      </c>
      <c r="U401" s="34">
        <v>2</v>
      </c>
      <c r="Y401" s="31" t="s">
        <v>312</v>
      </c>
      <c r="Z401" s="30">
        <v>-21</v>
      </c>
      <c r="AA401" s="30">
        <v>-18.3</v>
      </c>
      <c r="AB401" s="30">
        <v>-9.3000000000000007</v>
      </c>
      <c r="AC401" s="30">
        <v>-1</v>
      </c>
      <c r="AD401" s="30">
        <v>7.1</v>
      </c>
      <c r="AE401" s="30">
        <v>15.2</v>
      </c>
      <c r="AF401" s="30">
        <v>18.600000000000001</v>
      </c>
      <c r="AG401" s="30">
        <v>14.4</v>
      </c>
      <c r="AH401" s="30">
        <v>7.6</v>
      </c>
      <c r="AI401" s="30">
        <v>-0.8</v>
      </c>
      <c r="AJ401" s="30">
        <v>-11.8</v>
      </c>
      <c r="AK401" s="30">
        <v>-18.7</v>
      </c>
      <c r="AL401" s="30">
        <v>-1.5</v>
      </c>
    </row>
    <row r="402" spans="1:38" x14ac:dyDescent="0.25">
      <c r="A402" s="33" t="s">
        <v>311</v>
      </c>
      <c r="B402" s="70"/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  <c r="S402" s="70"/>
      <c r="T402" s="70"/>
      <c r="U402" s="34"/>
      <c r="Y402" s="33" t="s">
        <v>311</v>
      </c>
      <c r="Z402" s="70"/>
      <c r="AA402" s="70"/>
      <c r="AB402" s="70"/>
      <c r="AC402" s="70"/>
      <c r="AD402" s="70"/>
      <c r="AE402" s="70"/>
      <c r="AF402" s="70"/>
      <c r="AG402" s="70"/>
      <c r="AH402" s="70"/>
      <c r="AI402" s="70"/>
      <c r="AJ402" s="70"/>
      <c r="AK402" s="70"/>
      <c r="AL402" s="70"/>
    </row>
    <row r="403" spans="1:38" x14ac:dyDescent="0.25">
      <c r="A403" s="31" t="s">
        <v>910</v>
      </c>
      <c r="B403" s="30">
        <v>-49</v>
      </c>
      <c r="C403" s="30">
        <v>-48</v>
      </c>
      <c r="D403" s="30">
        <v>-48</v>
      </c>
      <c r="E403" s="30">
        <v>-47</v>
      </c>
      <c r="F403" s="30">
        <v>-37</v>
      </c>
      <c r="G403" s="30">
        <v>-54</v>
      </c>
      <c r="H403" s="30">
        <v>10.9</v>
      </c>
      <c r="I403" s="30">
        <v>178</v>
      </c>
      <c r="J403" s="30">
        <v>-20.100000000000001</v>
      </c>
      <c r="K403" s="30">
        <v>225</v>
      </c>
      <c r="L403" s="30">
        <v>-15</v>
      </c>
      <c r="M403" s="30">
        <v>238</v>
      </c>
      <c r="N403" s="30">
        <v>-13.7</v>
      </c>
      <c r="O403" s="30">
        <v>73</v>
      </c>
      <c r="P403" s="30">
        <v>69</v>
      </c>
      <c r="Q403" s="30">
        <v>58</v>
      </c>
      <c r="R403" s="30" t="s">
        <v>146</v>
      </c>
      <c r="S403" s="30">
        <v>1.7</v>
      </c>
      <c r="T403" s="30">
        <v>1.4</v>
      </c>
      <c r="U403" s="34">
        <v>3</v>
      </c>
      <c r="V403" s="35">
        <v>5</v>
      </c>
      <c r="Y403" s="31" t="s">
        <v>310</v>
      </c>
      <c r="Z403" s="30">
        <v>-29.3</v>
      </c>
      <c r="AA403" s="30">
        <v>-24.3</v>
      </c>
      <c r="AB403" s="30">
        <v>-11</v>
      </c>
      <c r="AC403" s="30">
        <v>4.4000000000000004</v>
      </c>
      <c r="AD403" s="30">
        <v>12.3</v>
      </c>
      <c r="AE403" s="30">
        <v>18.2</v>
      </c>
      <c r="AF403" s="30">
        <v>20.2</v>
      </c>
      <c r="AG403" s="30">
        <v>17.3</v>
      </c>
      <c r="AH403" s="30">
        <v>10.1</v>
      </c>
      <c r="AI403" s="30">
        <v>0.7</v>
      </c>
      <c r="AJ403" s="30">
        <v>-13.6</v>
      </c>
      <c r="AK403" s="30">
        <v>-26</v>
      </c>
      <c r="AL403" s="30">
        <v>-1.8</v>
      </c>
    </row>
    <row r="404" spans="1:38" x14ac:dyDescent="0.25">
      <c r="A404" s="33" t="s">
        <v>309</v>
      </c>
      <c r="B404" s="70"/>
      <c r="C404" s="70"/>
      <c r="D404" s="70"/>
      <c r="E404" s="70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  <c r="U404" s="34"/>
      <c r="Y404" s="33" t="s">
        <v>309</v>
      </c>
      <c r="Z404" s="70"/>
      <c r="AA404" s="70"/>
      <c r="AB404" s="70"/>
      <c r="AC404" s="70"/>
      <c r="AD404" s="70"/>
      <c r="AE404" s="70"/>
      <c r="AF404" s="70"/>
      <c r="AG404" s="70"/>
      <c r="AH404" s="70"/>
      <c r="AI404" s="70"/>
      <c r="AJ404" s="70"/>
      <c r="AK404" s="70"/>
      <c r="AL404" s="70"/>
    </row>
    <row r="405" spans="1:38" x14ac:dyDescent="0.25">
      <c r="A405" s="31" t="s">
        <v>308</v>
      </c>
      <c r="B405" s="30">
        <v>-35</v>
      </c>
      <c r="C405" s="30">
        <v>-31</v>
      </c>
      <c r="D405" s="30">
        <v>-30</v>
      </c>
      <c r="E405" s="30">
        <v>-27</v>
      </c>
      <c r="F405" s="30">
        <v>-15</v>
      </c>
      <c r="G405" s="30">
        <v>-42</v>
      </c>
      <c r="H405" s="30">
        <v>6.8</v>
      </c>
      <c r="I405" s="30">
        <v>140</v>
      </c>
      <c r="J405" s="30">
        <v>-6.4</v>
      </c>
      <c r="K405" s="30">
        <v>207</v>
      </c>
      <c r="L405" s="30">
        <v>-3</v>
      </c>
      <c r="M405" s="30">
        <v>224</v>
      </c>
      <c r="N405" s="30">
        <v>-2.1</v>
      </c>
      <c r="O405" s="30">
        <v>83</v>
      </c>
      <c r="P405" s="30">
        <v>82</v>
      </c>
      <c r="Q405" s="30">
        <v>187</v>
      </c>
      <c r="R405" s="30" t="s">
        <v>185</v>
      </c>
      <c r="S405" s="30">
        <v>4.9000000000000004</v>
      </c>
      <c r="T405" s="30">
        <v>4</v>
      </c>
      <c r="U405" s="32">
        <v>0</v>
      </c>
      <c r="Y405" s="31" t="s">
        <v>308</v>
      </c>
      <c r="Z405" s="30">
        <v>-9.9</v>
      </c>
      <c r="AA405" s="30">
        <v>-9.5</v>
      </c>
      <c r="AB405" s="30">
        <v>-4.0999999999999996</v>
      </c>
      <c r="AC405" s="30">
        <v>5</v>
      </c>
      <c r="AD405" s="30">
        <v>12.9</v>
      </c>
      <c r="AE405" s="30">
        <v>16.7</v>
      </c>
      <c r="AF405" s="30">
        <v>18.600000000000001</v>
      </c>
      <c r="AG405" s="30">
        <v>17.2</v>
      </c>
      <c r="AH405" s="30">
        <v>11.6</v>
      </c>
      <c r="AI405" s="30">
        <v>5</v>
      </c>
      <c r="AJ405" s="30">
        <v>-1.1000000000000001</v>
      </c>
      <c r="AK405" s="30">
        <v>-6.7</v>
      </c>
      <c r="AL405" s="30">
        <v>4.7</v>
      </c>
    </row>
    <row r="406" spans="1:38" x14ac:dyDescent="0.25">
      <c r="A406" s="33" t="s">
        <v>307</v>
      </c>
      <c r="B406" s="70"/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  <c r="S406" s="70"/>
      <c r="T406" s="70"/>
      <c r="U406" s="34"/>
      <c r="Y406" s="33" t="s">
        <v>307</v>
      </c>
      <c r="Z406" s="70"/>
      <c r="AA406" s="70"/>
      <c r="AB406" s="70"/>
      <c r="AC406" s="70"/>
      <c r="AD406" s="70"/>
      <c r="AE406" s="70"/>
      <c r="AF406" s="70"/>
      <c r="AG406" s="70"/>
      <c r="AH406" s="70"/>
      <c r="AI406" s="70"/>
      <c r="AJ406" s="70"/>
      <c r="AK406" s="70"/>
      <c r="AL406" s="70"/>
    </row>
    <row r="407" spans="1:38" ht="25.5" x14ac:dyDescent="0.25">
      <c r="A407" s="31" t="s">
        <v>911</v>
      </c>
      <c r="B407" s="30">
        <v>-50</v>
      </c>
      <c r="C407" s="30">
        <v>-45</v>
      </c>
      <c r="D407" s="30">
        <v>-45</v>
      </c>
      <c r="E407" s="30">
        <v>-42</v>
      </c>
      <c r="F407" s="30">
        <v>-25</v>
      </c>
      <c r="G407" s="30">
        <v>-53</v>
      </c>
      <c r="H407" s="30">
        <v>8.8000000000000007</v>
      </c>
      <c r="I407" s="30">
        <v>208</v>
      </c>
      <c r="J407" s="30">
        <v>-13.8</v>
      </c>
      <c r="K407" s="30">
        <v>266</v>
      </c>
      <c r="L407" s="30">
        <v>-9.9</v>
      </c>
      <c r="M407" s="30">
        <v>284</v>
      </c>
      <c r="N407" s="30">
        <v>-8.6999999999999993</v>
      </c>
      <c r="O407" s="30">
        <v>81</v>
      </c>
      <c r="P407" s="30">
        <v>81</v>
      </c>
      <c r="Q407" s="30">
        <v>131</v>
      </c>
      <c r="R407" s="30" t="s">
        <v>150</v>
      </c>
      <c r="S407" s="30">
        <v>3.9</v>
      </c>
      <c r="T407" s="30">
        <v>4</v>
      </c>
      <c r="U407" s="32">
        <v>2</v>
      </c>
      <c r="V407" s="35">
        <v>5</v>
      </c>
      <c r="Y407" s="31" t="s">
        <v>306</v>
      </c>
      <c r="Z407" s="30">
        <v>-22.1</v>
      </c>
      <c r="AA407" s="30">
        <v>-20.3</v>
      </c>
      <c r="AB407" s="30">
        <v>-10.7</v>
      </c>
      <c r="AC407" s="30">
        <v>-4.3</v>
      </c>
      <c r="AD407" s="30">
        <v>3.6</v>
      </c>
      <c r="AE407" s="30">
        <v>12</v>
      </c>
      <c r="AF407" s="30">
        <v>16.5</v>
      </c>
      <c r="AG407" s="30">
        <v>12.5</v>
      </c>
      <c r="AH407" s="30">
        <v>6.4</v>
      </c>
      <c r="AI407" s="30">
        <v>-2.2999999999999998</v>
      </c>
      <c r="AJ407" s="30">
        <v>-13.1</v>
      </c>
      <c r="AK407" s="30">
        <v>-19</v>
      </c>
      <c r="AL407" s="30">
        <v>-3.4</v>
      </c>
    </row>
    <row r="408" spans="1:38" x14ac:dyDescent="0.25">
      <c r="A408" s="31" t="s">
        <v>305</v>
      </c>
      <c r="B408" s="30">
        <v>-47</v>
      </c>
      <c r="C408" s="30">
        <v>-45</v>
      </c>
      <c r="D408" s="30">
        <v>-44</v>
      </c>
      <c r="E408" s="30">
        <v>-40</v>
      </c>
      <c r="F408" s="30">
        <v>-24</v>
      </c>
      <c r="G408" s="30">
        <v>-51</v>
      </c>
      <c r="H408" s="30">
        <v>8.4</v>
      </c>
      <c r="I408" s="30">
        <v>179</v>
      </c>
      <c r="J408" s="30">
        <v>-12.1</v>
      </c>
      <c r="K408" s="30">
        <v>241</v>
      </c>
      <c r="L408" s="30">
        <v>-8</v>
      </c>
      <c r="M408" s="30">
        <v>258</v>
      </c>
      <c r="N408" s="30">
        <v>-6.8</v>
      </c>
      <c r="O408" s="30">
        <v>81</v>
      </c>
      <c r="P408" s="30">
        <v>80</v>
      </c>
      <c r="Q408" s="30">
        <v>115</v>
      </c>
      <c r="R408" s="30" t="s">
        <v>150</v>
      </c>
      <c r="S408" s="30">
        <v>4.5999999999999996</v>
      </c>
      <c r="T408" s="30" t="s">
        <v>41</v>
      </c>
      <c r="U408" s="32">
        <v>2</v>
      </c>
      <c r="V408" s="35">
        <v>5</v>
      </c>
      <c r="Y408" s="31" t="s">
        <v>305</v>
      </c>
      <c r="Z408" s="30">
        <v>-19.2</v>
      </c>
      <c r="AA408" s="30">
        <v>-16.899999999999999</v>
      </c>
      <c r="AB408" s="30">
        <v>-9.4</v>
      </c>
      <c r="AC408" s="30">
        <v>0.7</v>
      </c>
      <c r="AD408" s="30">
        <v>7.7</v>
      </c>
      <c r="AE408" s="30">
        <v>14.7</v>
      </c>
      <c r="AF408" s="30">
        <v>17.600000000000001</v>
      </c>
      <c r="AG408" s="30">
        <v>14.5</v>
      </c>
      <c r="AH408" s="30">
        <v>8.9</v>
      </c>
      <c r="AI408" s="30">
        <v>0.2</v>
      </c>
      <c r="AJ408" s="30">
        <v>-9.8000000000000007</v>
      </c>
      <c r="AK408" s="30">
        <v>-17</v>
      </c>
      <c r="AL408" s="30">
        <v>-0.7</v>
      </c>
    </row>
    <row r="409" spans="1:38" ht="25.5" x14ac:dyDescent="0.25">
      <c r="A409" s="31" t="s">
        <v>304</v>
      </c>
      <c r="B409" s="30">
        <v>-47</v>
      </c>
      <c r="C409" s="30">
        <v>-44</v>
      </c>
      <c r="D409" s="30">
        <v>-44</v>
      </c>
      <c r="E409" s="30">
        <v>-40</v>
      </c>
      <c r="F409" s="30">
        <v>-25</v>
      </c>
      <c r="G409" s="30">
        <v>-49</v>
      </c>
      <c r="H409" s="30">
        <v>8.9</v>
      </c>
      <c r="I409" s="30">
        <v>183</v>
      </c>
      <c r="J409" s="30">
        <v>-12.3</v>
      </c>
      <c r="K409" s="30">
        <v>238</v>
      </c>
      <c r="L409" s="30">
        <v>-8.6</v>
      </c>
      <c r="M409" s="30">
        <v>256</v>
      </c>
      <c r="N409" s="30">
        <v>-7.4</v>
      </c>
      <c r="O409" s="30">
        <v>84</v>
      </c>
      <c r="P409" s="30">
        <v>84</v>
      </c>
      <c r="Q409" s="30">
        <v>107</v>
      </c>
      <c r="R409" s="30" t="s">
        <v>150</v>
      </c>
      <c r="S409" s="30">
        <v>4.7</v>
      </c>
      <c r="T409" s="30">
        <v>3.8</v>
      </c>
      <c r="U409" s="32">
        <v>2</v>
      </c>
      <c r="V409" s="35">
        <v>5</v>
      </c>
      <c r="Y409" s="31" t="s">
        <v>303</v>
      </c>
      <c r="Z409" s="30">
        <v>-19.8</v>
      </c>
      <c r="AA409" s="30">
        <v>-18.399999999999999</v>
      </c>
      <c r="AB409" s="30">
        <v>-10.1</v>
      </c>
      <c r="AC409" s="30">
        <v>0.1</v>
      </c>
      <c r="AD409" s="30">
        <v>8.4</v>
      </c>
      <c r="AE409" s="30">
        <v>14.9</v>
      </c>
      <c r="AF409" s="30">
        <v>18.7</v>
      </c>
      <c r="AG409" s="30">
        <v>14.7</v>
      </c>
      <c r="AH409" s="30">
        <v>8.9</v>
      </c>
      <c r="AI409" s="30">
        <v>-0.6</v>
      </c>
      <c r="AJ409" s="30">
        <v>-10.199999999999999</v>
      </c>
      <c r="AK409" s="30">
        <v>-16.3</v>
      </c>
      <c r="AL409" s="30">
        <v>-0.8</v>
      </c>
    </row>
    <row r="410" spans="1:38" x14ac:dyDescent="0.25">
      <c r="A410" s="31" t="s">
        <v>912</v>
      </c>
      <c r="B410" s="30">
        <v>-45</v>
      </c>
      <c r="C410" s="30">
        <v>-43</v>
      </c>
      <c r="D410" s="30">
        <v>-41</v>
      </c>
      <c r="E410" s="30">
        <v>-37</v>
      </c>
      <c r="F410" s="30">
        <v>-21</v>
      </c>
      <c r="G410" s="30">
        <v>-48</v>
      </c>
      <c r="H410" s="30">
        <v>7.9</v>
      </c>
      <c r="I410" s="30">
        <v>176</v>
      </c>
      <c r="J410" s="30">
        <v>-11.4</v>
      </c>
      <c r="K410" s="30">
        <v>237</v>
      </c>
      <c r="L410" s="30">
        <v>-7.4</v>
      </c>
      <c r="M410" s="30">
        <v>255</v>
      </c>
      <c r="N410" s="30">
        <v>-6.3</v>
      </c>
      <c r="O410" s="30">
        <v>80</v>
      </c>
      <c r="P410" s="30">
        <v>79</v>
      </c>
      <c r="Q410" s="30">
        <v>115</v>
      </c>
      <c r="R410" s="30" t="s">
        <v>150</v>
      </c>
      <c r="S410" s="30">
        <v>2.9</v>
      </c>
      <c r="T410" s="30">
        <v>3.1</v>
      </c>
      <c r="U410" s="32">
        <v>2</v>
      </c>
      <c r="V410" s="35">
        <v>5</v>
      </c>
      <c r="Y410" s="31" t="s">
        <v>302</v>
      </c>
      <c r="Z410" s="30">
        <v>-17.600000000000001</v>
      </c>
      <c r="AA410" s="30">
        <v>-15.8</v>
      </c>
      <c r="AB410" s="30">
        <v>-6.3</v>
      </c>
      <c r="AC410" s="30">
        <v>1.3</v>
      </c>
      <c r="AD410" s="30">
        <v>8.8000000000000007</v>
      </c>
      <c r="AE410" s="30">
        <v>15.4</v>
      </c>
      <c r="AF410" s="30">
        <v>18.399999999999999</v>
      </c>
      <c r="AG410" s="30">
        <v>14.6</v>
      </c>
      <c r="AH410" s="30">
        <v>8.6</v>
      </c>
      <c r="AI410" s="30">
        <v>0.8</v>
      </c>
      <c r="AJ410" s="30">
        <v>-8.6</v>
      </c>
      <c r="AK410" s="30">
        <v>-14.9</v>
      </c>
      <c r="AL410" s="30">
        <v>0.4</v>
      </c>
    </row>
    <row r="411" spans="1:38" x14ac:dyDescent="0.25">
      <c r="A411" s="31" t="s">
        <v>913</v>
      </c>
      <c r="B411" s="30">
        <v>-46</v>
      </c>
      <c r="C411" s="30">
        <v>-45</v>
      </c>
      <c r="D411" s="30">
        <v>-42</v>
      </c>
      <c r="E411" s="30">
        <v>-39</v>
      </c>
      <c r="F411" s="30">
        <v>-24</v>
      </c>
      <c r="G411" s="30">
        <v>-50</v>
      </c>
      <c r="H411" s="30">
        <v>8</v>
      </c>
      <c r="I411" s="30">
        <v>249</v>
      </c>
      <c r="J411" s="30">
        <v>-14.4</v>
      </c>
      <c r="K411" s="30">
        <v>365</v>
      </c>
      <c r="L411" s="30">
        <v>-8</v>
      </c>
      <c r="M411" s="30">
        <v>365</v>
      </c>
      <c r="N411" s="30">
        <v>-8</v>
      </c>
      <c r="O411" s="30">
        <v>82</v>
      </c>
      <c r="P411" s="30">
        <v>81</v>
      </c>
      <c r="Q411" s="30">
        <v>91</v>
      </c>
      <c r="R411" s="30" t="s">
        <v>155</v>
      </c>
      <c r="S411" s="30">
        <v>7.7</v>
      </c>
      <c r="T411" s="30">
        <v>6.1</v>
      </c>
      <c r="U411" s="32">
        <v>2</v>
      </c>
      <c r="V411" s="35">
        <v>5</v>
      </c>
      <c r="Y411" s="31" t="s">
        <v>301</v>
      </c>
      <c r="Z411" s="30">
        <v>-21.7</v>
      </c>
      <c r="AA411" s="30">
        <v>-22.4</v>
      </c>
      <c r="AB411" s="30">
        <v>-17.8</v>
      </c>
      <c r="AC411" s="30">
        <v>-13.5</v>
      </c>
      <c r="AD411" s="30">
        <v>-5.5</v>
      </c>
      <c r="AE411" s="30">
        <v>2</v>
      </c>
      <c r="AF411" s="30">
        <v>7.3</v>
      </c>
      <c r="AG411" s="30">
        <v>7</v>
      </c>
      <c r="AH411" s="30">
        <v>3.7</v>
      </c>
      <c r="AI411" s="30">
        <v>-4.5</v>
      </c>
      <c r="AJ411" s="30">
        <v>-13</v>
      </c>
      <c r="AK411" s="30">
        <v>-18</v>
      </c>
      <c r="AL411" s="30">
        <v>-8</v>
      </c>
    </row>
    <row r="412" spans="1:38" x14ac:dyDescent="0.25">
      <c r="A412" s="31" t="s">
        <v>914</v>
      </c>
      <c r="B412" s="30">
        <v>-52</v>
      </c>
      <c r="C412" s="30">
        <v>-49</v>
      </c>
      <c r="D412" s="30">
        <v>-47</v>
      </c>
      <c r="E412" s="30">
        <v>-45</v>
      </c>
      <c r="F412" s="30">
        <v>-28</v>
      </c>
      <c r="G412" s="30">
        <v>-58</v>
      </c>
      <c r="H412" s="30">
        <v>8.8000000000000007</v>
      </c>
      <c r="I412" s="30">
        <v>225</v>
      </c>
      <c r="J412" s="30">
        <v>-15.3</v>
      </c>
      <c r="K412" s="30">
        <v>278</v>
      </c>
      <c r="L412" s="30">
        <v>-11.5</v>
      </c>
      <c r="M412" s="30">
        <v>294</v>
      </c>
      <c r="N412" s="30">
        <v>-10.4</v>
      </c>
      <c r="O412" s="30">
        <v>80</v>
      </c>
      <c r="P412" s="30">
        <v>79</v>
      </c>
      <c r="Q412" s="30">
        <v>118</v>
      </c>
      <c r="R412" s="30" t="s">
        <v>150</v>
      </c>
      <c r="S412" s="30">
        <v>4.5</v>
      </c>
      <c r="T412" s="30">
        <v>3.6</v>
      </c>
      <c r="U412" s="32">
        <v>2</v>
      </c>
      <c r="V412" s="35">
        <v>5</v>
      </c>
      <c r="Y412" s="31" t="s">
        <v>300</v>
      </c>
      <c r="Z412" s="30">
        <v>-23.7</v>
      </c>
      <c r="AA412" s="30">
        <v>-22.9</v>
      </c>
      <c r="AB412" s="30">
        <v>-14.4</v>
      </c>
      <c r="AC412" s="30">
        <v>-8.1999999999999993</v>
      </c>
      <c r="AD412" s="30">
        <v>0</v>
      </c>
      <c r="AE412" s="30">
        <v>9.9</v>
      </c>
      <c r="AF412" s="30">
        <v>15.7</v>
      </c>
      <c r="AG412" s="30">
        <v>12</v>
      </c>
      <c r="AH412" s="30">
        <v>5.7</v>
      </c>
      <c r="AI412" s="30">
        <v>-4.2</v>
      </c>
      <c r="AJ412" s="30">
        <v>-15.2</v>
      </c>
      <c r="AK412" s="30">
        <v>-20.9</v>
      </c>
      <c r="AL412" s="30">
        <v>-5.5</v>
      </c>
    </row>
    <row r="413" spans="1:38" x14ac:dyDescent="0.25">
      <c r="A413" s="31" t="s">
        <v>915</v>
      </c>
      <c r="B413" s="30">
        <v>-46</v>
      </c>
      <c r="C413" s="30">
        <v>-45</v>
      </c>
      <c r="D413" s="30">
        <v>-44</v>
      </c>
      <c r="E413" s="30">
        <v>-41</v>
      </c>
      <c r="F413" s="30">
        <v>-26</v>
      </c>
      <c r="G413" s="30">
        <v>-54</v>
      </c>
      <c r="H413" s="30">
        <v>7.9</v>
      </c>
      <c r="I413" s="30">
        <v>199</v>
      </c>
      <c r="J413" s="30">
        <v>-12.9</v>
      </c>
      <c r="K413" s="30">
        <v>257</v>
      </c>
      <c r="L413" s="30">
        <v>-9.1</v>
      </c>
      <c r="M413" s="30">
        <v>276</v>
      </c>
      <c r="N413" s="30">
        <v>-7.8</v>
      </c>
      <c r="O413" s="30">
        <v>82</v>
      </c>
      <c r="P413" s="30">
        <v>83</v>
      </c>
      <c r="Q413" s="30">
        <v>159</v>
      </c>
      <c r="R413" s="30" t="s">
        <v>185</v>
      </c>
      <c r="S413" s="30">
        <v>2.8</v>
      </c>
      <c r="T413" s="30">
        <v>2</v>
      </c>
      <c r="U413" s="32">
        <v>2</v>
      </c>
      <c r="V413" s="35">
        <v>5</v>
      </c>
      <c r="Y413" s="31" t="s">
        <v>299</v>
      </c>
      <c r="Z413" s="30">
        <v>-20.9</v>
      </c>
      <c r="AA413" s="30">
        <v>-18.8</v>
      </c>
      <c r="AB413" s="30">
        <v>-8.9</v>
      </c>
      <c r="AC413" s="30">
        <v>-2.1</v>
      </c>
      <c r="AD413" s="30">
        <v>5.5</v>
      </c>
      <c r="AE413" s="30">
        <v>13.2</v>
      </c>
      <c r="AF413" s="30">
        <v>17.2</v>
      </c>
      <c r="AG413" s="30">
        <v>13.1</v>
      </c>
      <c r="AH413" s="30">
        <v>6.9</v>
      </c>
      <c r="AI413" s="30">
        <v>-1.6</v>
      </c>
      <c r="AJ413" s="30">
        <v>-11.6</v>
      </c>
      <c r="AK413" s="30">
        <v>-18</v>
      </c>
      <c r="AL413" s="30">
        <v>-2.2000000000000002</v>
      </c>
    </row>
    <row r="414" spans="1:38" x14ac:dyDescent="0.25">
      <c r="A414" s="31" t="s">
        <v>916</v>
      </c>
      <c r="B414" s="30">
        <v>-49</v>
      </c>
      <c r="C414" s="30">
        <v>-47</v>
      </c>
      <c r="D414" s="30">
        <v>-45</v>
      </c>
      <c r="E414" s="30">
        <v>-43</v>
      </c>
      <c r="F414" s="30">
        <v>-27</v>
      </c>
      <c r="G414" s="30">
        <v>-54</v>
      </c>
      <c r="H414" s="30">
        <v>9.1999999999999993</v>
      </c>
      <c r="I414" s="30">
        <v>228</v>
      </c>
      <c r="J414" s="30">
        <v>-15.5</v>
      </c>
      <c r="K414" s="30">
        <v>285</v>
      </c>
      <c r="L414" s="30">
        <v>-11.5</v>
      </c>
      <c r="M414" s="30">
        <v>303</v>
      </c>
      <c r="N414" s="30">
        <v>-10.3</v>
      </c>
      <c r="O414" s="30">
        <v>82</v>
      </c>
      <c r="P414" s="30">
        <v>82</v>
      </c>
      <c r="Q414" s="30">
        <v>106</v>
      </c>
      <c r="R414" s="30" t="s">
        <v>150</v>
      </c>
      <c r="S414" s="30">
        <v>4.5999999999999996</v>
      </c>
      <c r="T414" s="30">
        <v>3.1</v>
      </c>
      <c r="U414" s="32">
        <v>2</v>
      </c>
      <c r="V414" s="35">
        <v>5</v>
      </c>
      <c r="Y414" s="31" t="s">
        <v>298</v>
      </c>
      <c r="Z414" s="30">
        <v>-24.2</v>
      </c>
      <c r="AA414" s="30">
        <v>-23.5</v>
      </c>
      <c r="AB414" s="30">
        <v>-15.4</v>
      </c>
      <c r="AC414" s="30">
        <v>-9.1999999999999993</v>
      </c>
      <c r="AD414" s="30">
        <v>-1.1000000000000001</v>
      </c>
      <c r="AE414" s="30">
        <v>8.6</v>
      </c>
      <c r="AF414" s="30">
        <v>14.4</v>
      </c>
      <c r="AG414" s="30">
        <v>11.1</v>
      </c>
      <c r="AH414" s="30">
        <v>5.3</v>
      </c>
      <c r="AI414" s="30">
        <v>-4.0999999999999996</v>
      </c>
      <c r="AJ414" s="30">
        <v>-15.2</v>
      </c>
      <c r="AK414" s="30">
        <v>-20.6</v>
      </c>
      <c r="AL414" s="30">
        <v>-6.2</v>
      </c>
    </row>
    <row r="415" spans="1:38" x14ac:dyDescent="0.25">
      <c r="A415" s="31" t="s">
        <v>297</v>
      </c>
      <c r="B415" s="30">
        <v>-51</v>
      </c>
      <c r="C415" s="30">
        <v>-48</v>
      </c>
      <c r="D415" s="30">
        <v>-49</v>
      </c>
      <c r="E415" s="30">
        <v>-44</v>
      </c>
      <c r="F415" s="30">
        <v>-28</v>
      </c>
      <c r="G415" s="30">
        <v>-55</v>
      </c>
      <c r="H415" s="30">
        <v>11.3</v>
      </c>
      <c r="I415" s="30">
        <v>198</v>
      </c>
      <c r="J415" s="30">
        <v>-13.9</v>
      </c>
      <c r="K415" s="30">
        <v>261</v>
      </c>
      <c r="L415" s="30">
        <v>-9.5</v>
      </c>
      <c r="M415" s="30">
        <v>280</v>
      </c>
      <c r="N415" s="30">
        <v>-8.3000000000000007</v>
      </c>
      <c r="O415" s="30">
        <v>80</v>
      </c>
      <c r="P415" s="30">
        <v>80</v>
      </c>
      <c r="Q415" s="30">
        <v>127</v>
      </c>
      <c r="R415" s="30" t="s">
        <v>185</v>
      </c>
      <c r="S415" s="30" t="s">
        <v>41</v>
      </c>
      <c r="T415" s="30" t="s">
        <v>41</v>
      </c>
      <c r="U415" s="32">
        <v>2</v>
      </c>
      <c r="V415" s="35">
        <v>5</v>
      </c>
      <c r="Y415" s="31" t="s">
        <v>297</v>
      </c>
      <c r="Z415" s="30">
        <v>-22.7</v>
      </c>
      <c r="AA415" s="30">
        <v>-20.399999999999999</v>
      </c>
      <c r="AB415" s="30">
        <v>-12</v>
      </c>
      <c r="AC415" s="30">
        <v>-1.8</v>
      </c>
      <c r="AD415" s="30">
        <v>5.2</v>
      </c>
      <c r="AE415" s="30">
        <v>12.3</v>
      </c>
      <c r="AF415" s="30">
        <v>16.100000000000001</v>
      </c>
      <c r="AG415" s="30">
        <v>12.8</v>
      </c>
      <c r="AH415" s="30">
        <v>6.6</v>
      </c>
      <c r="AI415" s="30">
        <v>-2.5</v>
      </c>
      <c r="AJ415" s="30">
        <v>-12.8</v>
      </c>
      <c r="AK415" s="30">
        <v>-20.2</v>
      </c>
      <c r="AL415" s="30">
        <v>-3.3</v>
      </c>
    </row>
    <row r="416" spans="1:38" ht="25.5" x14ac:dyDescent="0.25">
      <c r="A416" s="31" t="s">
        <v>296</v>
      </c>
      <c r="B416" s="30">
        <v>-48</v>
      </c>
      <c r="C416" s="30">
        <v>-47</v>
      </c>
      <c r="D416" s="30">
        <v>-45</v>
      </c>
      <c r="E416" s="30">
        <v>-43</v>
      </c>
      <c r="F416" s="30">
        <v>-27</v>
      </c>
      <c r="G416" s="30">
        <v>-55</v>
      </c>
      <c r="H416" s="30">
        <v>9.6999999999999993</v>
      </c>
      <c r="I416" s="30">
        <v>200</v>
      </c>
      <c r="J416" s="30">
        <v>-13.8</v>
      </c>
      <c r="K416" s="30">
        <v>257</v>
      </c>
      <c r="L416" s="30">
        <v>-9.9</v>
      </c>
      <c r="M416" s="30">
        <v>274</v>
      </c>
      <c r="N416" s="30">
        <v>-8.8000000000000007</v>
      </c>
      <c r="O416" s="30">
        <v>79</v>
      </c>
      <c r="P416" s="30">
        <v>78</v>
      </c>
      <c r="Q416" s="30">
        <v>209</v>
      </c>
      <c r="R416" s="30" t="s">
        <v>155</v>
      </c>
      <c r="S416" s="30">
        <v>5.3</v>
      </c>
      <c r="T416" s="30">
        <v>5</v>
      </c>
      <c r="U416" s="32">
        <v>2</v>
      </c>
      <c r="V416" s="35">
        <v>5</v>
      </c>
      <c r="Y416" s="31" t="s">
        <v>295</v>
      </c>
      <c r="Z416" s="30">
        <v>-22</v>
      </c>
      <c r="AA416" s="30">
        <v>-19.600000000000001</v>
      </c>
      <c r="AB416" s="30">
        <v>-13.3</v>
      </c>
      <c r="AC416" s="30">
        <v>-3.5</v>
      </c>
      <c r="AD416" s="30">
        <v>4.0999999999999996</v>
      </c>
      <c r="AE416" s="30">
        <v>13</v>
      </c>
      <c r="AF416" s="30">
        <v>16.899999999999999</v>
      </c>
      <c r="AG416" s="30">
        <v>14</v>
      </c>
      <c r="AH416" s="30">
        <v>7.8</v>
      </c>
      <c r="AI416" s="30">
        <v>-1.4</v>
      </c>
      <c r="AJ416" s="30">
        <v>-13.2</v>
      </c>
      <c r="AK416" s="30">
        <v>-20.3</v>
      </c>
      <c r="AL416" s="30">
        <v>-3.4</v>
      </c>
    </row>
    <row r="417" spans="1:38" ht="25.5" x14ac:dyDescent="0.25">
      <c r="A417" s="31" t="s">
        <v>917</v>
      </c>
      <c r="B417" s="30">
        <v>-54</v>
      </c>
      <c r="C417" s="30">
        <v>-50</v>
      </c>
      <c r="D417" s="30">
        <v>-49</v>
      </c>
      <c r="E417" s="30">
        <v>-47</v>
      </c>
      <c r="F417" s="30">
        <v>-28</v>
      </c>
      <c r="G417" s="30">
        <v>-55</v>
      </c>
      <c r="H417" s="30">
        <v>8.9</v>
      </c>
      <c r="I417" s="30">
        <v>227</v>
      </c>
      <c r="J417" s="30">
        <v>-16.100000000000001</v>
      </c>
      <c r="K417" s="30">
        <v>274</v>
      </c>
      <c r="L417" s="30">
        <v>-12.6</v>
      </c>
      <c r="M417" s="30">
        <v>290</v>
      </c>
      <c r="N417" s="30">
        <v>-11.4</v>
      </c>
      <c r="O417" s="30">
        <v>79</v>
      </c>
      <c r="P417" s="30">
        <v>79</v>
      </c>
      <c r="Q417" s="30">
        <v>137</v>
      </c>
      <c r="R417" s="30" t="s">
        <v>150</v>
      </c>
      <c r="S417" s="30">
        <v>3.7</v>
      </c>
      <c r="T417" s="30">
        <v>3.4</v>
      </c>
      <c r="U417" s="32">
        <v>2</v>
      </c>
      <c r="V417" s="35">
        <v>5</v>
      </c>
      <c r="Y417" s="31" t="s">
        <v>294</v>
      </c>
      <c r="Z417" s="30">
        <v>-25.2</v>
      </c>
      <c r="AA417" s="30">
        <v>-24.3</v>
      </c>
      <c r="AB417" s="30">
        <v>-15.3</v>
      </c>
      <c r="AC417" s="30">
        <v>-8.6</v>
      </c>
      <c r="AD417" s="30">
        <v>-0.3</v>
      </c>
      <c r="AE417" s="30">
        <v>10.7</v>
      </c>
      <c r="AF417" s="30">
        <v>16.399999999999999</v>
      </c>
      <c r="AG417" s="30">
        <v>12.5</v>
      </c>
      <c r="AH417" s="30">
        <v>5.7</v>
      </c>
      <c r="AI417" s="30">
        <v>-4.7</v>
      </c>
      <c r="AJ417" s="30">
        <v>-16.100000000000001</v>
      </c>
      <c r="AK417" s="30">
        <v>-22.2</v>
      </c>
      <c r="AL417" s="30">
        <v>-6</v>
      </c>
    </row>
    <row r="418" spans="1:38" x14ac:dyDescent="0.25">
      <c r="A418" s="31" t="s">
        <v>918</v>
      </c>
      <c r="B418" s="30">
        <v>-47</v>
      </c>
      <c r="C418" s="30">
        <v>-43</v>
      </c>
      <c r="D418" s="30">
        <v>-44</v>
      </c>
      <c r="E418" s="30">
        <v>-39</v>
      </c>
      <c r="F418" s="30">
        <v>-23</v>
      </c>
      <c r="G418" s="30">
        <v>-52</v>
      </c>
      <c r="H418" s="30">
        <v>9.1</v>
      </c>
      <c r="I418" s="30">
        <v>171</v>
      </c>
      <c r="J418" s="30">
        <v>-12.2</v>
      </c>
      <c r="K418" s="30">
        <v>232</v>
      </c>
      <c r="L418" s="30">
        <v>-7.9</v>
      </c>
      <c r="M418" s="30">
        <v>248</v>
      </c>
      <c r="N418" s="30">
        <v>-6.8</v>
      </c>
      <c r="O418" s="30">
        <v>81</v>
      </c>
      <c r="P418" s="30">
        <v>80</v>
      </c>
      <c r="Q418" s="30">
        <v>110</v>
      </c>
      <c r="R418" s="30" t="s">
        <v>150</v>
      </c>
      <c r="S418" s="30">
        <v>4.2</v>
      </c>
      <c r="T418" s="30">
        <v>3.3</v>
      </c>
      <c r="U418" s="32">
        <v>2</v>
      </c>
      <c r="V418" s="35">
        <v>5</v>
      </c>
      <c r="Y418" s="31" t="s">
        <v>293</v>
      </c>
      <c r="Z418" s="30">
        <v>-18.399999999999999</v>
      </c>
      <c r="AA418" s="30">
        <v>-16.7</v>
      </c>
      <c r="AB418" s="30">
        <v>-7.4</v>
      </c>
      <c r="AC418" s="30">
        <v>1.9</v>
      </c>
      <c r="AD418" s="30">
        <v>9.9</v>
      </c>
      <c r="AE418" s="30">
        <v>16.100000000000001</v>
      </c>
      <c r="AF418" s="30">
        <v>18.5</v>
      </c>
      <c r="AG418" s="30">
        <v>15</v>
      </c>
      <c r="AH418" s="30">
        <v>9</v>
      </c>
      <c r="AI418" s="30">
        <v>1.5</v>
      </c>
      <c r="AJ418" s="30">
        <v>-8.1</v>
      </c>
      <c r="AK418" s="30">
        <v>-15.3</v>
      </c>
      <c r="AL418" s="30">
        <v>0.5</v>
      </c>
    </row>
    <row r="419" spans="1:38" x14ac:dyDescent="0.25">
      <c r="A419" s="31" t="s">
        <v>919</v>
      </c>
      <c r="B419" s="30">
        <v>-44</v>
      </c>
      <c r="C419" s="30">
        <v>-41</v>
      </c>
      <c r="D419" s="30">
        <v>-42</v>
      </c>
      <c r="E419" s="30">
        <v>-35</v>
      </c>
      <c r="F419" s="30">
        <v>-20</v>
      </c>
      <c r="G419" s="30">
        <v>-50</v>
      </c>
      <c r="H419" s="30">
        <v>8.8000000000000007</v>
      </c>
      <c r="I419" s="30">
        <v>163</v>
      </c>
      <c r="J419" s="30">
        <v>-10.9</v>
      </c>
      <c r="K419" s="30">
        <v>223</v>
      </c>
      <c r="L419" s="30">
        <v>-6.9</v>
      </c>
      <c r="M419" s="30">
        <v>241</v>
      </c>
      <c r="N419" s="30">
        <v>-5.7</v>
      </c>
      <c r="O419" s="30">
        <v>79</v>
      </c>
      <c r="P419" s="30">
        <v>77</v>
      </c>
      <c r="Q419" s="30">
        <v>107</v>
      </c>
      <c r="R419" s="30" t="s">
        <v>155</v>
      </c>
      <c r="S419" s="30">
        <v>3</v>
      </c>
      <c r="T419" s="30">
        <v>2.7</v>
      </c>
      <c r="U419" s="32">
        <v>2</v>
      </c>
      <c r="V419" s="35">
        <v>5</v>
      </c>
      <c r="Y419" s="31" t="s">
        <v>292</v>
      </c>
      <c r="Z419" s="30">
        <v>-16.2</v>
      </c>
      <c r="AA419" s="30">
        <v>-14.3</v>
      </c>
      <c r="AB419" s="30">
        <v>-5.7</v>
      </c>
      <c r="AC419" s="30">
        <v>3.7</v>
      </c>
      <c r="AD419" s="30">
        <v>11</v>
      </c>
      <c r="AE419" s="30">
        <v>16.5</v>
      </c>
      <c r="AF419" s="30">
        <v>18.600000000000001</v>
      </c>
      <c r="AG419" s="30">
        <v>15.4</v>
      </c>
      <c r="AH419" s="30">
        <v>9.6</v>
      </c>
      <c r="AI419" s="30">
        <v>2.2000000000000002</v>
      </c>
      <c r="AJ419" s="30">
        <v>-6.8</v>
      </c>
      <c r="AK419" s="30">
        <v>-13.5</v>
      </c>
      <c r="AL419" s="30">
        <v>1.7</v>
      </c>
    </row>
    <row r="420" spans="1:38" x14ac:dyDescent="0.25">
      <c r="A420" s="31" t="s">
        <v>291</v>
      </c>
      <c r="B420" s="30">
        <v>-49</v>
      </c>
      <c r="C420" s="30">
        <v>-46</v>
      </c>
      <c r="D420" s="30">
        <v>-45</v>
      </c>
      <c r="E420" s="30">
        <v>-42</v>
      </c>
      <c r="F420" s="30">
        <v>-26</v>
      </c>
      <c r="G420" s="30">
        <v>-54</v>
      </c>
      <c r="H420" s="30">
        <v>9.4</v>
      </c>
      <c r="I420" s="30">
        <v>191</v>
      </c>
      <c r="J420" s="30">
        <v>-13.3</v>
      </c>
      <c r="K420" s="30">
        <v>251</v>
      </c>
      <c r="L420" s="30">
        <v>-9.1</v>
      </c>
      <c r="M420" s="30">
        <v>270</v>
      </c>
      <c r="N420" s="30">
        <v>-7.9</v>
      </c>
      <c r="O420" s="30">
        <v>82</v>
      </c>
      <c r="P420" s="30">
        <v>80</v>
      </c>
      <c r="Q420" s="30">
        <v>123</v>
      </c>
      <c r="R420" s="30" t="s">
        <v>155</v>
      </c>
      <c r="S420" s="30">
        <v>4.4000000000000004</v>
      </c>
      <c r="T420" s="30" t="s">
        <v>41</v>
      </c>
      <c r="U420" s="32">
        <v>2</v>
      </c>
      <c r="V420" s="35">
        <v>5</v>
      </c>
      <c r="Y420" s="31" t="s">
        <v>291</v>
      </c>
      <c r="Z420" s="30">
        <v>-21</v>
      </c>
      <c r="AA420" s="30">
        <v>-19.399999999999999</v>
      </c>
      <c r="AB420" s="30">
        <v>-10.9</v>
      </c>
      <c r="AC420" s="30">
        <v>-1.1000000000000001</v>
      </c>
      <c r="AD420" s="30">
        <v>6</v>
      </c>
      <c r="AE420" s="30">
        <v>13.4</v>
      </c>
      <c r="AF420" s="30">
        <v>17.399999999999999</v>
      </c>
      <c r="AG420" s="30">
        <v>13.6</v>
      </c>
      <c r="AH420" s="30">
        <v>7.9</v>
      </c>
      <c r="AI420" s="30">
        <v>-1.4</v>
      </c>
      <c r="AJ420" s="30">
        <v>-12.6</v>
      </c>
      <c r="AK420" s="30">
        <v>-18.8</v>
      </c>
      <c r="AL420" s="30">
        <v>-2.2000000000000002</v>
      </c>
    </row>
    <row r="421" spans="1:38" ht="25.5" x14ac:dyDescent="0.25">
      <c r="A421" s="31" t="s">
        <v>290</v>
      </c>
      <c r="B421" s="30">
        <v>-53</v>
      </c>
      <c r="C421" s="30">
        <v>-50</v>
      </c>
      <c r="D421" s="30">
        <v>-49</v>
      </c>
      <c r="E421" s="30">
        <v>-46</v>
      </c>
      <c r="F421" s="30">
        <v>-31</v>
      </c>
      <c r="G421" s="30">
        <v>-56</v>
      </c>
      <c r="H421" s="30">
        <v>9.9</v>
      </c>
      <c r="I421" s="30">
        <v>236</v>
      </c>
      <c r="J421" s="30">
        <v>-16.8</v>
      </c>
      <c r="K421" s="30">
        <v>286</v>
      </c>
      <c r="L421" s="30">
        <v>-13.1</v>
      </c>
      <c r="M421" s="30">
        <v>304</v>
      </c>
      <c r="N421" s="30">
        <v>-11.8</v>
      </c>
      <c r="O421" s="30">
        <v>78</v>
      </c>
      <c r="P421" s="30">
        <v>78</v>
      </c>
      <c r="Q421" s="30">
        <v>117</v>
      </c>
      <c r="R421" s="30" t="s">
        <v>155</v>
      </c>
      <c r="S421" s="30" t="s">
        <v>41</v>
      </c>
      <c r="T421" s="30" t="s">
        <v>41</v>
      </c>
      <c r="U421" s="32">
        <v>2</v>
      </c>
      <c r="V421" s="35">
        <v>5</v>
      </c>
      <c r="Y421" s="31" t="s">
        <v>289</v>
      </c>
      <c r="Z421" s="30">
        <v>-26.4</v>
      </c>
      <c r="AA421" s="30">
        <v>-26.4</v>
      </c>
      <c r="AB421" s="30">
        <v>-19.2</v>
      </c>
      <c r="AC421" s="30">
        <v>-10.3</v>
      </c>
      <c r="AD421" s="30">
        <v>-2.6</v>
      </c>
      <c r="AE421" s="30">
        <v>8.4</v>
      </c>
      <c r="AF421" s="30">
        <v>15.4</v>
      </c>
      <c r="AG421" s="30">
        <v>11.3</v>
      </c>
      <c r="AH421" s="30">
        <v>5.2</v>
      </c>
      <c r="AI421" s="30">
        <v>-6.3</v>
      </c>
      <c r="AJ421" s="30">
        <v>-18.2</v>
      </c>
      <c r="AK421" s="30">
        <v>-24</v>
      </c>
      <c r="AL421" s="30">
        <v>-7.8</v>
      </c>
    </row>
    <row r="422" spans="1:38" ht="38.25" x14ac:dyDescent="0.25">
      <c r="A422" s="31" t="s">
        <v>920</v>
      </c>
      <c r="B422" s="30">
        <v>-46</v>
      </c>
      <c r="C422" s="30">
        <v>-45</v>
      </c>
      <c r="D422" s="30">
        <v>-44</v>
      </c>
      <c r="E422" s="30">
        <v>-40</v>
      </c>
      <c r="F422" s="30">
        <v>-25</v>
      </c>
      <c r="G422" s="30">
        <v>-49</v>
      </c>
      <c r="H422" s="30">
        <v>8.3000000000000007</v>
      </c>
      <c r="I422" s="30">
        <v>191</v>
      </c>
      <c r="J422" s="30">
        <v>-12.6</v>
      </c>
      <c r="K422" s="30">
        <v>247</v>
      </c>
      <c r="L422" s="30">
        <v>-8.8000000000000007</v>
      </c>
      <c r="M422" s="30">
        <v>264</v>
      </c>
      <c r="N422" s="30">
        <v>-7.6</v>
      </c>
      <c r="O422" s="30">
        <v>82</v>
      </c>
      <c r="P422" s="30">
        <v>83</v>
      </c>
      <c r="Q422" s="30">
        <v>139</v>
      </c>
      <c r="R422" s="30" t="s">
        <v>142</v>
      </c>
      <c r="S422" s="30">
        <v>3.1</v>
      </c>
      <c r="T422" s="30">
        <v>2.8</v>
      </c>
      <c r="U422" s="32">
        <v>2</v>
      </c>
      <c r="V422" s="35">
        <v>5</v>
      </c>
      <c r="Y422" s="31" t="s">
        <v>288</v>
      </c>
      <c r="Z422" s="30">
        <v>-19.8</v>
      </c>
      <c r="AA422" s="30">
        <v>-18.3</v>
      </c>
      <c r="AB422" s="30">
        <v>-8.5</v>
      </c>
      <c r="AC422" s="30">
        <v>-1.2</v>
      </c>
      <c r="AD422" s="30">
        <v>6.9</v>
      </c>
      <c r="AE422" s="30">
        <v>14.5</v>
      </c>
      <c r="AF422" s="30">
        <v>18.100000000000001</v>
      </c>
      <c r="AG422" s="30">
        <v>14.1</v>
      </c>
      <c r="AH422" s="30">
        <v>7.9</v>
      </c>
      <c r="AI422" s="30">
        <v>-0.4</v>
      </c>
      <c r="AJ422" s="30">
        <v>-10.4</v>
      </c>
      <c r="AK422" s="30">
        <v>-16.899999999999999</v>
      </c>
      <c r="AL422" s="30">
        <v>-1.2</v>
      </c>
    </row>
    <row r="423" spans="1:38" ht="25.5" x14ac:dyDescent="0.25">
      <c r="A423" s="33" t="s">
        <v>287</v>
      </c>
      <c r="B423" s="70"/>
      <c r="C423" s="70"/>
      <c r="D423" s="70"/>
      <c r="E423" s="70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  <c r="U423" s="34"/>
      <c r="Y423" s="33" t="s">
        <v>287</v>
      </c>
      <c r="Z423" s="70"/>
      <c r="AA423" s="70"/>
      <c r="AB423" s="70"/>
      <c r="AC423" s="70"/>
      <c r="AD423" s="70"/>
      <c r="AE423" s="70"/>
      <c r="AF423" s="70"/>
      <c r="AG423" s="70"/>
      <c r="AH423" s="70"/>
      <c r="AI423" s="70"/>
      <c r="AJ423" s="70"/>
      <c r="AK423" s="70"/>
      <c r="AL423" s="70"/>
    </row>
    <row r="424" spans="1:38" x14ac:dyDescent="0.25">
      <c r="A424" s="31" t="s">
        <v>286</v>
      </c>
      <c r="B424" s="30">
        <v>-42</v>
      </c>
      <c r="C424" s="30">
        <v>-39</v>
      </c>
      <c r="D424" s="30">
        <v>-38</v>
      </c>
      <c r="E424" s="30">
        <v>-35</v>
      </c>
      <c r="F424" s="30">
        <v>-20</v>
      </c>
      <c r="G424" s="30">
        <v>-50</v>
      </c>
      <c r="H424" s="30">
        <v>8</v>
      </c>
      <c r="I424" s="30">
        <v>168</v>
      </c>
      <c r="J424" s="30">
        <v>-9.6999999999999993</v>
      </c>
      <c r="K424" s="30">
        <v>231</v>
      </c>
      <c r="L424" s="30">
        <v>-6</v>
      </c>
      <c r="M424" s="30">
        <v>247</v>
      </c>
      <c r="N424" s="30">
        <v>-5</v>
      </c>
      <c r="O424" s="30">
        <v>85</v>
      </c>
      <c r="P424" s="30">
        <v>84</v>
      </c>
      <c r="Q424" s="30">
        <v>248</v>
      </c>
      <c r="R424" s="30" t="s">
        <v>155</v>
      </c>
      <c r="S424" s="30">
        <v>4.9000000000000004</v>
      </c>
      <c r="T424" s="30" t="s">
        <v>41</v>
      </c>
      <c r="U424" s="32">
        <v>0</v>
      </c>
      <c r="V424" s="35">
        <v>1</v>
      </c>
      <c r="Y424" s="31" t="s">
        <v>286</v>
      </c>
      <c r="Z424" s="30">
        <v>-14.9</v>
      </c>
      <c r="AA424" s="30">
        <v>-14</v>
      </c>
      <c r="AB424" s="30">
        <v>-8</v>
      </c>
      <c r="AC424" s="30">
        <v>2</v>
      </c>
      <c r="AD424" s="30">
        <v>9.9</v>
      </c>
      <c r="AE424" s="30">
        <v>15.8</v>
      </c>
      <c r="AF424" s="30">
        <v>17.8</v>
      </c>
      <c r="AG424" s="30">
        <v>15.4</v>
      </c>
      <c r="AH424" s="30">
        <v>9.1</v>
      </c>
      <c r="AI424" s="30">
        <v>1.8</v>
      </c>
      <c r="AJ424" s="30">
        <v>-6.2</v>
      </c>
      <c r="AK424" s="30">
        <v>-12.6</v>
      </c>
      <c r="AL424" s="30">
        <v>1.3</v>
      </c>
    </row>
    <row r="425" spans="1:38" x14ac:dyDescent="0.25">
      <c r="A425" s="31" t="s">
        <v>921</v>
      </c>
      <c r="B425" s="30">
        <v>-41</v>
      </c>
      <c r="C425" s="30">
        <v>-36</v>
      </c>
      <c r="D425" s="30">
        <v>-35</v>
      </c>
      <c r="E425" s="30">
        <v>-33</v>
      </c>
      <c r="F425" s="30">
        <v>-18</v>
      </c>
      <c r="G425" s="30">
        <v>-48</v>
      </c>
      <c r="H425" s="30">
        <v>7.2</v>
      </c>
      <c r="I425" s="30">
        <v>160</v>
      </c>
      <c r="J425" s="30">
        <v>-9.1</v>
      </c>
      <c r="K425" s="30">
        <v>219</v>
      </c>
      <c r="L425" s="30">
        <v>-5.6</v>
      </c>
      <c r="M425" s="30">
        <v>236</v>
      </c>
      <c r="N425" s="30">
        <v>-4.5999999999999996</v>
      </c>
      <c r="O425" s="30">
        <v>83</v>
      </c>
      <c r="P425" s="30">
        <v>82</v>
      </c>
      <c r="Q425" s="30">
        <v>152</v>
      </c>
      <c r="R425" s="30" t="s">
        <v>150</v>
      </c>
      <c r="S425" s="30">
        <v>5.5</v>
      </c>
      <c r="T425" s="30">
        <v>4.0999999999999996</v>
      </c>
      <c r="U425" s="32">
        <v>0</v>
      </c>
      <c r="V425" s="35">
        <v>1</v>
      </c>
      <c r="Y425" s="31" t="s">
        <v>285</v>
      </c>
      <c r="Z425" s="30">
        <v>-13.4</v>
      </c>
      <c r="AA425" s="30">
        <v>-12.3</v>
      </c>
      <c r="AB425" s="30">
        <v>-5.0999999999999996</v>
      </c>
      <c r="AC425" s="30">
        <v>3.8</v>
      </c>
      <c r="AD425" s="30">
        <v>11.7</v>
      </c>
      <c r="AE425" s="30">
        <v>16.5</v>
      </c>
      <c r="AF425" s="30">
        <v>18.600000000000001</v>
      </c>
      <c r="AG425" s="30">
        <v>15.9</v>
      </c>
      <c r="AH425" s="30">
        <v>10.1</v>
      </c>
      <c r="AI425" s="30">
        <v>2.7</v>
      </c>
      <c r="AJ425" s="30">
        <v>-4.9000000000000004</v>
      </c>
      <c r="AK425" s="30">
        <v>-10.9</v>
      </c>
      <c r="AL425" s="30">
        <v>2.7</v>
      </c>
    </row>
    <row r="426" spans="1:38" x14ac:dyDescent="0.25">
      <c r="A426" s="31" t="s">
        <v>922</v>
      </c>
      <c r="B426" s="30">
        <v>-40</v>
      </c>
      <c r="C426" s="30">
        <v>-36</v>
      </c>
      <c r="D426" s="30">
        <v>-35</v>
      </c>
      <c r="E426" s="30">
        <v>-33</v>
      </c>
      <c r="F426" s="30">
        <v>-17</v>
      </c>
      <c r="G426" s="30">
        <v>-48</v>
      </c>
      <c r="H426" s="30">
        <v>7.2</v>
      </c>
      <c r="I426" s="30">
        <v>159</v>
      </c>
      <c r="J426" s="30">
        <v>-9</v>
      </c>
      <c r="K426" s="30">
        <v>215</v>
      </c>
      <c r="L426" s="30">
        <v>-5.6</v>
      </c>
      <c r="M426" s="30">
        <v>231</v>
      </c>
      <c r="N426" s="30">
        <v>-4.5999999999999996</v>
      </c>
      <c r="O426" s="30">
        <v>82</v>
      </c>
      <c r="P426" s="30">
        <v>82</v>
      </c>
      <c r="Q426" s="30">
        <v>178</v>
      </c>
      <c r="R426" s="30" t="s">
        <v>150</v>
      </c>
      <c r="S426" s="30">
        <v>3.6</v>
      </c>
      <c r="T426" s="30">
        <v>3.2</v>
      </c>
      <c r="U426" s="32">
        <v>0</v>
      </c>
      <c r="V426" s="35">
        <v>1</v>
      </c>
      <c r="Y426" s="31" t="s">
        <v>284</v>
      </c>
      <c r="Z426" s="30">
        <v>-13.2</v>
      </c>
      <c r="AA426" s="30">
        <v>-12.1</v>
      </c>
      <c r="AB426" s="30">
        <v>-5</v>
      </c>
      <c r="AC426" s="30">
        <v>4.2</v>
      </c>
      <c r="AD426" s="30">
        <v>12.2</v>
      </c>
      <c r="AE426" s="30">
        <v>17</v>
      </c>
      <c r="AF426" s="30">
        <v>19.100000000000001</v>
      </c>
      <c r="AG426" s="30">
        <v>16.399999999999999</v>
      </c>
      <c r="AH426" s="30">
        <v>10.6</v>
      </c>
      <c r="AI426" s="30">
        <v>3.1</v>
      </c>
      <c r="AJ426" s="30">
        <v>-4.5999999999999996</v>
      </c>
      <c r="AK426" s="30">
        <v>-10.6</v>
      </c>
      <c r="AL426" s="30">
        <v>3.1</v>
      </c>
    </row>
    <row r="427" spans="1:38" ht="25.5" x14ac:dyDescent="0.25">
      <c r="A427" s="33" t="s">
        <v>283</v>
      </c>
      <c r="B427" s="70"/>
      <c r="C427" s="70"/>
      <c r="D427" s="70"/>
      <c r="E427" s="70"/>
      <c r="F427" s="70"/>
      <c r="G427" s="70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  <c r="S427" s="70"/>
      <c r="T427" s="70"/>
      <c r="U427" s="34"/>
      <c r="Y427" s="33" t="s">
        <v>283</v>
      </c>
      <c r="Z427" s="70"/>
      <c r="AA427" s="70"/>
      <c r="AB427" s="70"/>
      <c r="AC427" s="70"/>
      <c r="AD427" s="70"/>
      <c r="AE427" s="70"/>
      <c r="AF427" s="70"/>
      <c r="AG427" s="70"/>
      <c r="AH427" s="70"/>
      <c r="AI427" s="70"/>
      <c r="AJ427" s="70"/>
      <c r="AK427" s="70"/>
      <c r="AL427" s="70"/>
    </row>
    <row r="428" spans="1:38" x14ac:dyDescent="0.25">
      <c r="A428" s="31" t="s">
        <v>282</v>
      </c>
      <c r="B428" s="30">
        <v>-39</v>
      </c>
      <c r="C428" s="30">
        <v>-36</v>
      </c>
      <c r="D428" s="30">
        <v>-36</v>
      </c>
      <c r="E428" s="30">
        <v>-31</v>
      </c>
      <c r="F428" s="30">
        <v>-18</v>
      </c>
      <c r="G428" s="30">
        <v>-46</v>
      </c>
      <c r="H428" s="30">
        <v>9.3000000000000007</v>
      </c>
      <c r="I428" s="30">
        <v>152</v>
      </c>
      <c r="J428" s="30">
        <v>-8.1999999999999993</v>
      </c>
      <c r="K428" s="30">
        <v>211</v>
      </c>
      <c r="L428" s="30">
        <v>-4.8</v>
      </c>
      <c r="M428" s="30">
        <v>226</v>
      </c>
      <c r="N428" s="30">
        <v>-3.9</v>
      </c>
      <c r="O428" s="30">
        <v>81</v>
      </c>
      <c r="P428" s="30">
        <v>80</v>
      </c>
      <c r="Q428" s="30">
        <v>140</v>
      </c>
      <c r="R428" s="30" t="s">
        <v>155</v>
      </c>
      <c r="S428" s="30" t="s">
        <v>41</v>
      </c>
      <c r="T428" s="30">
        <v>3.4</v>
      </c>
      <c r="U428" s="32">
        <v>0</v>
      </c>
      <c r="Y428" s="31" t="s">
        <v>282</v>
      </c>
      <c r="Z428" s="30">
        <v>-13.2</v>
      </c>
      <c r="AA428" s="30">
        <v>-12.5</v>
      </c>
      <c r="AB428" s="30">
        <v>-6.1</v>
      </c>
      <c r="AC428" s="30">
        <v>4.8</v>
      </c>
      <c r="AD428" s="30">
        <v>13</v>
      </c>
      <c r="AE428" s="30">
        <v>17.100000000000001</v>
      </c>
      <c r="AF428" s="30">
        <v>18.7</v>
      </c>
      <c r="AG428" s="30">
        <v>17.2</v>
      </c>
      <c r="AH428" s="30">
        <v>11.3</v>
      </c>
      <c r="AI428" s="30">
        <v>3.6</v>
      </c>
      <c r="AJ428" s="30">
        <v>-3.1</v>
      </c>
      <c r="AK428" s="30">
        <v>-8.9</v>
      </c>
      <c r="AL428" s="30">
        <v>3.5</v>
      </c>
    </row>
    <row r="429" spans="1:38" x14ac:dyDescent="0.25">
      <c r="A429" s="31" t="s">
        <v>281</v>
      </c>
      <c r="B429" s="30">
        <v>-38</v>
      </c>
      <c r="C429" s="30">
        <v>-36</v>
      </c>
      <c r="D429" s="30">
        <v>-36</v>
      </c>
      <c r="E429" s="30">
        <v>-31</v>
      </c>
      <c r="F429" s="30">
        <v>-19</v>
      </c>
      <c r="G429" s="30">
        <v>-48</v>
      </c>
      <c r="H429" s="30">
        <v>7.4</v>
      </c>
      <c r="I429" s="30">
        <v>155</v>
      </c>
      <c r="J429" s="30">
        <v>-8.9</v>
      </c>
      <c r="K429" s="30">
        <v>212</v>
      </c>
      <c r="L429" s="30">
        <v>-5.4</v>
      </c>
      <c r="M429" s="30">
        <v>228</v>
      </c>
      <c r="N429" s="30">
        <v>-4.4000000000000004</v>
      </c>
      <c r="O429" s="30">
        <v>82</v>
      </c>
      <c r="P429" s="30">
        <v>81</v>
      </c>
      <c r="Q429" s="30">
        <v>220</v>
      </c>
      <c r="R429" s="30" t="s">
        <v>41</v>
      </c>
      <c r="S429" s="30" t="s">
        <v>41</v>
      </c>
      <c r="T429" s="30" t="s">
        <v>41</v>
      </c>
      <c r="U429" s="32">
        <v>0</v>
      </c>
      <c r="Y429" s="31" t="s">
        <v>281</v>
      </c>
      <c r="Z429" s="30">
        <v>-13.8</v>
      </c>
      <c r="AA429" s="30">
        <v>-13.2</v>
      </c>
      <c r="AB429" s="30">
        <v>-6.8</v>
      </c>
      <c r="AC429" s="30">
        <v>4.0999999999999996</v>
      </c>
      <c r="AD429" s="30">
        <v>12.6</v>
      </c>
      <c r="AE429" s="30">
        <v>17.600000000000001</v>
      </c>
      <c r="AF429" s="30">
        <v>19.600000000000001</v>
      </c>
      <c r="AG429" s="30">
        <v>17.600000000000001</v>
      </c>
      <c r="AH429" s="30">
        <v>11.4</v>
      </c>
      <c r="AI429" s="30">
        <v>3.8</v>
      </c>
      <c r="AJ429" s="30">
        <v>-4.0999999999999996</v>
      </c>
      <c r="AK429" s="30">
        <v>-10.4</v>
      </c>
      <c r="AL429" s="30">
        <v>3.2</v>
      </c>
    </row>
    <row r="430" spans="1:38" x14ac:dyDescent="0.25">
      <c r="A430" s="33" t="s">
        <v>280</v>
      </c>
      <c r="B430" s="70"/>
      <c r="C430" s="70"/>
      <c r="D430" s="70"/>
      <c r="E430" s="70"/>
      <c r="F430" s="70"/>
      <c r="G430" s="70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  <c r="S430" s="70"/>
      <c r="T430" s="70"/>
      <c r="U430" s="34"/>
      <c r="Y430" s="33" t="s">
        <v>280</v>
      </c>
      <c r="Z430" s="70"/>
      <c r="AA430" s="70"/>
      <c r="AB430" s="70"/>
      <c r="AC430" s="70"/>
      <c r="AD430" s="70"/>
      <c r="AE430" s="70"/>
      <c r="AF430" s="70"/>
      <c r="AG430" s="70"/>
      <c r="AH430" s="70"/>
      <c r="AI430" s="70"/>
      <c r="AJ430" s="70"/>
      <c r="AK430" s="70"/>
      <c r="AL430" s="70"/>
    </row>
    <row r="431" spans="1:38" x14ac:dyDescent="0.25">
      <c r="A431" s="31" t="s">
        <v>279</v>
      </c>
      <c r="B431" s="30">
        <v>-33</v>
      </c>
      <c r="C431" s="30">
        <v>-31</v>
      </c>
      <c r="D431" s="30">
        <v>-30</v>
      </c>
      <c r="E431" s="30">
        <v>-28</v>
      </c>
      <c r="F431" s="30">
        <v>-24</v>
      </c>
      <c r="G431" s="30">
        <v>-37</v>
      </c>
      <c r="H431" s="30">
        <v>7.2</v>
      </c>
      <c r="I431" s="30">
        <v>203</v>
      </c>
      <c r="J431" s="30">
        <v>-11.7</v>
      </c>
      <c r="K431" s="30">
        <v>278</v>
      </c>
      <c r="L431" s="30">
        <v>-7.4</v>
      </c>
      <c r="M431" s="30">
        <v>300</v>
      </c>
      <c r="N431" s="30">
        <v>-6.2</v>
      </c>
      <c r="O431" s="30">
        <v>50</v>
      </c>
      <c r="P431" s="30">
        <v>47</v>
      </c>
      <c r="Q431" s="30">
        <v>129</v>
      </c>
      <c r="R431" s="30" t="s">
        <v>140</v>
      </c>
      <c r="S431" s="30" t="s">
        <v>41</v>
      </c>
      <c r="T431" s="30">
        <v>3.4</v>
      </c>
      <c r="U431" s="32">
        <v>4</v>
      </c>
      <c r="V431" s="35">
        <v>5</v>
      </c>
      <c r="Y431" s="31" t="s">
        <v>279</v>
      </c>
      <c r="Z431" s="30">
        <v>-19.7</v>
      </c>
      <c r="AA431" s="30">
        <v>-17.600000000000001</v>
      </c>
      <c r="AB431" s="30">
        <v>-11.6</v>
      </c>
      <c r="AC431" s="30">
        <v>-3.8</v>
      </c>
      <c r="AD431" s="30">
        <v>0.8</v>
      </c>
      <c r="AE431" s="30">
        <v>5.6</v>
      </c>
      <c r="AF431" s="30">
        <v>11.4</v>
      </c>
      <c r="AG431" s="30">
        <v>13.2</v>
      </c>
      <c r="AH431" s="30">
        <v>9.6</v>
      </c>
      <c r="AI431" s="30">
        <v>0.4</v>
      </c>
      <c r="AJ431" s="30">
        <v>-11</v>
      </c>
      <c r="AK431" s="30">
        <v>-17.399999999999999</v>
      </c>
      <c r="AL431" s="30">
        <v>-3.3</v>
      </c>
    </row>
    <row r="432" spans="1:38" x14ac:dyDescent="0.25">
      <c r="A432" s="31" t="s">
        <v>278</v>
      </c>
      <c r="B432" s="30">
        <v>-37</v>
      </c>
      <c r="C432" s="30">
        <v>-35</v>
      </c>
      <c r="D432" s="30">
        <v>-34</v>
      </c>
      <c r="E432" s="30">
        <v>-31</v>
      </c>
      <c r="F432" s="30">
        <v>-27</v>
      </c>
      <c r="G432" s="30">
        <v>-44</v>
      </c>
      <c r="H432" s="30">
        <v>7.6</v>
      </c>
      <c r="I432" s="30">
        <v>198</v>
      </c>
      <c r="J432" s="30">
        <v>-12.8</v>
      </c>
      <c r="K432" s="30">
        <v>255</v>
      </c>
      <c r="L432" s="30">
        <v>-9</v>
      </c>
      <c r="M432" s="30">
        <v>271</v>
      </c>
      <c r="N432" s="30">
        <v>-7.9</v>
      </c>
      <c r="O432" s="30">
        <v>81</v>
      </c>
      <c r="P432" s="30">
        <v>80</v>
      </c>
      <c r="Q432" s="30" t="s">
        <v>41</v>
      </c>
      <c r="R432" s="30" t="s">
        <v>140</v>
      </c>
      <c r="S432" s="30" t="s">
        <v>41</v>
      </c>
      <c r="T432" s="30">
        <v>5.9</v>
      </c>
      <c r="U432" s="32">
        <v>4</v>
      </c>
      <c r="V432" s="35">
        <v>5</v>
      </c>
      <c r="Y432" s="31" t="s">
        <v>278</v>
      </c>
      <c r="Z432" s="30">
        <v>-21.7</v>
      </c>
      <c r="AA432" s="30">
        <v>-20.2</v>
      </c>
      <c r="AB432" s="30">
        <v>-14.5</v>
      </c>
      <c r="AC432" s="30">
        <v>-5.2</v>
      </c>
      <c r="AD432" s="30">
        <v>0.9</v>
      </c>
      <c r="AE432" s="30">
        <v>9.1</v>
      </c>
      <c r="AF432" s="30">
        <v>14.5</v>
      </c>
      <c r="AG432" s="30">
        <v>15.5</v>
      </c>
      <c r="AH432" s="30">
        <v>12</v>
      </c>
      <c r="AI432" s="30">
        <v>3.4</v>
      </c>
      <c r="AJ432" s="30">
        <v>-7.1</v>
      </c>
      <c r="AK432" s="30">
        <v>-16.600000000000001</v>
      </c>
      <c r="AL432" s="30">
        <v>-2.5</v>
      </c>
    </row>
    <row r="433" spans="1:38" x14ac:dyDescent="0.25">
      <c r="A433" s="31" t="s">
        <v>277</v>
      </c>
      <c r="B433" s="30">
        <v>-38</v>
      </c>
      <c r="C433" s="30">
        <v>-34</v>
      </c>
      <c r="D433" s="30">
        <v>-35</v>
      </c>
      <c r="E433" s="30">
        <v>-32</v>
      </c>
      <c r="F433" s="30">
        <v>-27</v>
      </c>
      <c r="G433" s="30">
        <v>-46</v>
      </c>
      <c r="H433" s="30">
        <v>12.8</v>
      </c>
      <c r="I433" s="30">
        <v>159</v>
      </c>
      <c r="J433" s="30">
        <v>-13.3</v>
      </c>
      <c r="K433" s="30">
        <v>208</v>
      </c>
      <c r="L433" s="30">
        <v>-9.1</v>
      </c>
      <c r="M433" s="30">
        <v>223</v>
      </c>
      <c r="N433" s="30">
        <v>-7.8</v>
      </c>
      <c r="O433" s="30">
        <v>76</v>
      </c>
      <c r="P433" s="30">
        <v>66</v>
      </c>
      <c r="Q433" s="30">
        <v>96</v>
      </c>
      <c r="R433" s="30" t="s">
        <v>185</v>
      </c>
      <c r="S433" s="30">
        <v>3.2</v>
      </c>
      <c r="T433" s="30">
        <v>2</v>
      </c>
      <c r="U433" s="32">
        <v>4</v>
      </c>
      <c r="V433" s="35">
        <v>5</v>
      </c>
      <c r="Y433" s="31" t="s">
        <v>277</v>
      </c>
      <c r="Z433" s="30">
        <v>-22.4</v>
      </c>
      <c r="AA433" s="30">
        <v>-17.399999999999999</v>
      </c>
      <c r="AB433" s="30">
        <v>-8.1</v>
      </c>
      <c r="AC433" s="30">
        <v>4.0999999999999996</v>
      </c>
      <c r="AD433" s="30">
        <v>11.7</v>
      </c>
      <c r="AE433" s="30">
        <v>17.399999999999999</v>
      </c>
      <c r="AF433" s="30">
        <v>21</v>
      </c>
      <c r="AG433" s="30">
        <v>19.899999999999999</v>
      </c>
      <c r="AH433" s="30">
        <v>13.3</v>
      </c>
      <c r="AI433" s="30">
        <v>4.5</v>
      </c>
      <c r="AJ433" s="30">
        <v>-7.6</v>
      </c>
      <c r="AK433" s="30">
        <v>-18.3</v>
      </c>
      <c r="AL433" s="30">
        <v>1.5</v>
      </c>
    </row>
    <row r="434" spans="1:38" x14ac:dyDescent="0.25">
      <c r="A434" s="31" t="s">
        <v>276</v>
      </c>
      <c r="B434" s="30">
        <v>-37</v>
      </c>
      <c r="C434" s="30">
        <v>-35</v>
      </c>
      <c r="D434" s="30">
        <v>-34</v>
      </c>
      <c r="E434" s="30">
        <v>-31</v>
      </c>
      <c r="F434" s="30">
        <v>-27</v>
      </c>
      <c r="G434" s="30">
        <v>-43</v>
      </c>
      <c r="H434" s="30">
        <v>11</v>
      </c>
      <c r="I434" s="30">
        <v>166</v>
      </c>
      <c r="J434" s="30">
        <v>-13.4</v>
      </c>
      <c r="K434" s="30">
        <v>220</v>
      </c>
      <c r="L434" s="30">
        <v>-9.1</v>
      </c>
      <c r="M434" s="30">
        <v>234</v>
      </c>
      <c r="N434" s="30">
        <v>-7.9</v>
      </c>
      <c r="O434" s="30">
        <v>70</v>
      </c>
      <c r="P434" s="30">
        <v>64</v>
      </c>
      <c r="Q434" s="30">
        <v>85</v>
      </c>
      <c r="R434" s="30" t="s">
        <v>142</v>
      </c>
      <c r="S434" s="30" t="s">
        <v>41</v>
      </c>
      <c r="T434" s="30" t="s">
        <v>41</v>
      </c>
      <c r="U434" s="32">
        <v>4</v>
      </c>
      <c r="V434" s="35">
        <v>5</v>
      </c>
      <c r="Y434" s="31" t="s">
        <v>276</v>
      </c>
      <c r="Z434" s="30">
        <v>-22</v>
      </c>
      <c r="AA434" s="30">
        <v>-16.600000000000001</v>
      </c>
      <c r="AB434" s="30">
        <v>-8.1999999999999993</v>
      </c>
      <c r="AC434" s="30">
        <v>2.7</v>
      </c>
      <c r="AD434" s="30">
        <v>10.199999999999999</v>
      </c>
      <c r="AE434" s="30">
        <v>16.5</v>
      </c>
      <c r="AF434" s="30">
        <v>20.100000000000001</v>
      </c>
      <c r="AG434" s="30">
        <v>18.5</v>
      </c>
      <c r="AH434" s="30">
        <v>12</v>
      </c>
      <c r="AI434" s="30">
        <v>2.6</v>
      </c>
      <c r="AJ434" s="30">
        <v>-10.1</v>
      </c>
      <c r="AK434" s="30">
        <v>-19.5</v>
      </c>
      <c r="AL434" s="30">
        <v>0.5</v>
      </c>
    </row>
    <row r="435" spans="1:38" x14ac:dyDescent="0.25">
      <c r="A435" s="31" t="s">
        <v>275</v>
      </c>
      <c r="B435" s="30">
        <v>-38</v>
      </c>
      <c r="C435" s="30">
        <v>-34</v>
      </c>
      <c r="D435" s="30">
        <v>-35</v>
      </c>
      <c r="E435" s="30">
        <v>-32</v>
      </c>
      <c r="F435" s="30">
        <v>-28</v>
      </c>
      <c r="G435" s="30">
        <v>-43</v>
      </c>
      <c r="H435" s="30">
        <v>14.9</v>
      </c>
      <c r="I435" s="30">
        <v>169</v>
      </c>
      <c r="J435" s="30">
        <v>-14.8</v>
      </c>
      <c r="K435" s="30">
        <v>219</v>
      </c>
      <c r="L435" s="30">
        <v>-10.4</v>
      </c>
      <c r="M435" s="30">
        <v>234</v>
      </c>
      <c r="N435" s="30">
        <v>-9.1999999999999993</v>
      </c>
      <c r="O435" s="30">
        <v>74</v>
      </c>
      <c r="P435" s="30">
        <v>65</v>
      </c>
      <c r="Q435" s="30">
        <v>84</v>
      </c>
      <c r="R435" s="30" t="s">
        <v>142</v>
      </c>
      <c r="S435" s="30" t="s">
        <v>41</v>
      </c>
      <c r="T435" s="30" t="s">
        <v>41</v>
      </c>
      <c r="U435" s="32">
        <v>4</v>
      </c>
      <c r="V435" s="35">
        <v>5</v>
      </c>
      <c r="Y435" s="31" t="s">
        <v>275</v>
      </c>
      <c r="Z435" s="30">
        <v>-22.6</v>
      </c>
      <c r="AA435" s="30">
        <v>-17.5</v>
      </c>
      <c r="AB435" s="30">
        <v>-9</v>
      </c>
      <c r="AC435" s="30">
        <v>3</v>
      </c>
      <c r="AD435" s="30">
        <v>10.7</v>
      </c>
      <c r="AE435" s="30">
        <v>16.7</v>
      </c>
      <c r="AF435" s="30">
        <v>20.3</v>
      </c>
      <c r="AG435" s="30">
        <v>19</v>
      </c>
      <c r="AH435" s="30">
        <v>12.4</v>
      </c>
      <c r="AI435" s="30">
        <v>3</v>
      </c>
      <c r="AJ435" s="30">
        <v>-9.8000000000000007</v>
      </c>
      <c r="AK435" s="30">
        <v>-19.600000000000001</v>
      </c>
      <c r="AL435" s="30">
        <v>0.6</v>
      </c>
    </row>
    <row r="436" spans="1:38" x14ac:dyDescent="0.25">
      <c r="A436" s="31" t="s">
        <v>274</v>
      </c>
      <c r="B436" s="30">
        <v>-38</v>
      </c>
      <c r="C436" s="30">
        <v>-34</v>
      </c>
      <c r="D436" s="30">
        <v>-34</v>
      </c>
      <c r="E436" s="30">
        <v>-31</v>
      </c>
      <c r="F436" s="30">
        <v>-27</v>
      </c>
      <c r="G436" s="30">
        <v>-48</v>
      </c>
      <c r="H436" s="30">
        <v>11.9</v>
      </c>
      <c r="I436" s="30">
        <v>163</v>
      </c>
      <c r="J436" s="30">
        <v>-13.5</v>
      </c>
      <c r="K436" s="30">
        <v>213</v>
      </c>
      <c r="L436" s="30">
        <v>-9.3000000000000007</v>
      </c>
      <c r="M436" s="30">
        <v>227</v>
      </c>
      <c r="N436" s="30">
        <v>-8.1</v>
      </c>
      <c r="O436" s="30">
        <v>74</v>
      </c>
      <c r="P436" s="30">
        <v>66</v>
      </c>
      <c r="Q436" s="30">
        <v>114</v>
      </c>
      <c r="R436" s="30" t="s">
        <v>155</v>
      </c>
      <c r="S436" s="30">
        <v>4.0999999999999996</v>
      </c>
      <c r="T436" s="30" t="s">
        <v>41</v>
      </c>
      <c r="U436" s="32">
        <v>4</v>
      </c>
      <c r="V436" s="35">
        <v>5</v>
      </c>
      <c r="Y436" s="31" t="s">
        <v>274</v>
      </c>
      <c r="Z436" s="30">
        <v>-22.3</v>
      </c>
      <c r="AA436" s="30">
        <v>-17.8</v>
      </c>
      <c r="AB436" s="30">
        <v>-9</v>
      </c>
      <c r="AC436" s="30">
        <v>3.4</v>
      </c>
      <c r="AD436" s="30">
        <v>11.3</v>
      </c>
      <c r="AE436" s="30">
        <v>17.100000000000001</v>
      </c>
      <c r="AF436" s="30">
        <v>20.6</v>
      </c>
      <c r="AG436" s="30">
        <v>19.600000000000001</v>
      </c>
      <c r="AH436" s="30">
        <v>13</v>
      </c>
      <c r="AI436" s="30">
        <v>3.9</v>
      </c>
      <c r="AJ436" s="30">
        <v>-8.1999999999999993</v>
      </c>
      <c r="AK436" s="30">
        <v>-18.100000000000001</v>
      </c>
      <c r="AL436" s="30">
        <v>1.1000000000000001</v>
      </c>
    </row>
    <row r="437" spans="1:38" x14ac:dyDescent="0.25">
      <c r="A437" s="31" t="s">
        <v>273</v>
      </c>
      <c r="B437" s="30">
        <v>-39</v>
      </c>
      <c r="C437" s="30">
        <v>-37</v>
      </c>
      <c r="D437" s="30">
        <v>-37</v>
      </c>
      <c r="E437" s="30">
        <v>-35</v>
      </c>
      <c r="F437" s="30">
        <v>-30</v>
      </c>
      <c r="G437" s="30">
        <v>-52</v>
      </c>
      <c r="H437" s="30">
        <v>17.3</v>
      </c>
      <c r="I437" s="30">
        <v>174</v>
      </c>
      <c r="J437" s="30">
        <v>-14.9</v>
      </c>
      <c r="K437" s="30">
        <v>228</v>
      </c>
      <c r="L437" s="30">
        <v>-10.4</v>
      </c>
      <c r="M437" s="30">
        <v>242</v>
      </c>
      <c r="N437" s="30">
        <v>-9.1999999999999993</v>
      </c>
      <c r="O437" s="30">
        <v>77</v>
      </c>
      <c r="P437" s="30">
        <v>64</v>
      </c>
      <c r="Q437" s="30">
        <v>128</v>
      </c>
      <c r="R437" s="30" t="s">
        <v>41</v>
      </c>
      <c r="S437" s="30" t="s">
        <v>41</v>
      </c>
      <c r="T437" s="30" t="s">
        <v>41</v>
      </c>
      <c r="U437" s="32">
        <v>4</v>
      </c>
      <c r="V437" s="35">
        <v>5</v>
      </c>
      <c r="Y437" s="31" t="s">
        <v>273</v>
      </c>
      <c r="Z437" s="30">
        <v>-24.9</v>
      </c>
      <c r="AA437" s="30">
        <v>-20.100000000000001</v>
      </c>
      <c r="AB437" s="30">
        <v>-10.6</v>
      </c>
      <c r="AC437" s="30">
        <v>1.3</v>
      </c>
      <c r="AD437" s="30">
        <v>9.1</v>
      </c>
      <c r="AE437" s="30">
        <v>15.6</v>
      </c>
      <c r="AF437" s="30">
        <v>19.600000000000001</v>
      </c>
      <c r="AG437" s="30">
        <v>18.399999999999999</v>
      </c>
      <c r="AH437" s="30">
        <v>11.4</v>
      </c>
      <c r="AI437" s="30">
        <v>1.5</v>
      </c>
      <c r="AJ437" s="30">
        <v>-10.8</v>
      </c>
      <c r="AK437" s="30">
        <v>-20.8</v>
      </c>
      <c r="AL437" s="30">
        <v>-0.9</v>
      </c>
    </row>
    <row r="438" spans="1:38" x14ac:dyDescent="0.25">
      <c r="A438" s="31" t="s">
        <v>272</v>
      </c>
      <c r="B438" s="30">
        <v>-26</v>
      </c>
      <c r="C438" s="30">
        <v>-25</v>
      </c>
      <c r="D438" s="30">
        <v>-23</v>
      </c>
      <c r="E438" s="30">
        <v>-22</v>
      </c>
      <c r="F438" s="30">
        <v>-20</v>
      </c>
      <c r="G438" s="30">
        <v>-36</v>
      </c>
      <c r="H438" s="30">
        <v>8.6999999999999993</v>
      </c>
      <c r="I438" s="30">
        <v>161</v>
      </c>
      <c r="J438" s="30">
        <v>-8.8000000000000007</v>
      </c>
      <c r="K438" s="30">
        <v>248</v>
      </c>
      <c r="L438" s="30">
        <v>-4.3</v>
      </c>
      <c r="M438" s="30">
        <v>270</v>
      </c>
      <c r="N438" s="30">
        <v>-3.2</v>
      </c>
      <c r="O438" s="30">
        <v>54</v>
      </c>
      <c r="P438" s="30">
        <v>47</v>
      </c>
      <c r="Q438" s="30" t="s">
        <v>41</v>
      </c>
      <c r="R438" s="30" t="s">
        <v>140</v>
      </c>
      <c r="S438" s="30" t="s">
        <v>41</v>
      </c>
      <c r="T438" s="30" t="s">
        <v>41</v>
      </c>
      <c r="U438" s="32">
        <v>4</v>
      </c>
      <c r="V438" s="35">
        <v>5</v>
      </c>
      <c r="Y438" s="31" t="s">
        <v>272</v>
      </c>
      <c r="Z438" s="30">
        <v>-14.8</v>
      </c>
      <c r="AA438" s="30">
        <v>-11.9</v>
      </c>
      <c r="AB438" s="30">
        <v>-6</v>
      </c>
      <c r="AC438" s="30">
        <v>0.4</v>
      </c>
      <c r="AD438" s="30">
        <v>4.3</v>
      </c>
      <c r="AE438" s="30">
        <v>8.4</v>
      </c>
      <c r="AF438" s="30">
        <v>13</v>
      </c>
      <c r="AG438" s="30">
        <v>15.9</v>
      </c>
      <c r="AH438" s="30">
        <v>13.1</v>
      </c>
      <c r="AI438" s="30">
        <v>5.9</v>
      </c>
      <c r="AJ438" s="30">
        <v>-4</v>
      </c>
      <c r="AK438" s="30">
        <v>-11.8</v>
      </c>
      <c r="AL438" s="30">
        <v>1</v>
      </c>
    </row>
    <row r="439" spans="1:38" x14ac:dyDescent="0.25">
      <c r="A439" s="31" t="s">
        <v>271</v>
      </c>
      <c r="B439" s="30">
        <v>-30</v>
      </c>
      <c r="C439" s="30">
        <v>-29</v>
      </c>
      <c r="D439" s="30">
        <v>-28</v>
      </c>
      <c r="E439" s="30">
        <v>-27</v>
      </c>
      <c r="F439" s="30">
        <v>-24</v>
      </c>
      <c r="G439" s="30">
        <v>-39</v>
      </c>
      <c r="H439" s="30">
        <v>7.8</v>
      </c>
      <c r="I439" s="30">
        <v>183</v>
      </c>
      <c r="J439" s="30">
        <v>-11.4</v>
      </c>
      <c r="K439" s="30">
        <v>256</v>
      </c>
      <c r="L439" s="30">
        <v>-6.9</v>
      </c>
      <c r="M439" s="30">
        <v>276</v>
      </c>
      <c r="N439" s="30">
        <v>-5.8</v>
      </c>
      <c r="O439" s="30">
        <v>68</v>
      </c>
      <c r="P439" s="30">
        <v>61</v>
      </c>
      <c r="Q439" s="30">
        <v>131</v>
      </c>
      <c r="R439" s="30" t="s">
        <v>140</v>
      </c>
      <c r="S439" s="30" t="s">
        <v>41</v>
      </c>
      <c r="T439" s="30" t="s">
        <v>41</v>
      </c>
      <c r="U439" s="32">
        <v>4</v>
      </c>
      <c r="V439" s="35">
        <v>5</v>
      </c>
      <c r="Y439" s="31" t="s">
        <v>271</v>
      </c>
      <c r="Z439" s="30">
        <v>-19.399999999999999</v>
      </c>
      <c r="AA439" s="30">
        <v>-15.8</v>
      </c>
      <c r="AB439" s="30">
        <v>-9.3000000000000007</v>
      </c>
      <c r="AC439" s="30">
        <v>-1.5</v>
      </c>
      <c r="AD439" s="30">
        <v>3.2</v>
      </c>
      <c r="AE439" s="30">
        <v>8.5</v>
      </c>
      <c r="AF439" s="30">
        <v>13.2</v>
      </c>
      <c r="AG439" s="30">
        <v>15.3</v>
      </c>
      <c r="AH439" s="30">
        <v>12</v>
      </c>
      <c r="AI439" s="30">
        <v>3.2</v>
      </c>
      <c r="AJ439" s="30">
        <v>-8.1</v>
      </c>
      <c r="AK439" s="30">
        <v>-16.2</v>
      </c>
      <c r="AL439" s="30">
        <v>-1.2</v>
      </c>
    </row>
    <row r="440" spans="1:38" x14ac:dyDescent="0.25">
      <c r="A440" s="31" t="s">
        <v>923</v>
      </c>
      <c r="B440" s="30">
        <v>-36</v>
      </c>
      <c r="C440" s="30">
        <v>-32</v>
      </c>
      <c r="D440" s="30">
        <v>-33</v>
      </c>
      <c r="E440" s="30">
        <v>-30</v>
      </c>
      <c r="F440" s="30">
        <v>-25</v>
      </c>
      <c r="G440" s="30">
        <v>-42</v>
      </c>
      <c r="H440" s="30">
        <v>7.7</v>
      </c>
      <c r="I440" s="30">
        <v>191</v>
      </c>
      <c r="J440" s="30">
        <v>-11.7</v>
      </c>
      <c r="K440" s="30">
        <v>252</v>
      </c>
      <c r="L440" s="30">
        <v>-7.9</v>
      </c>
      <c r="M440" s="30">
        <v>268</v>
      </c>
      <c r="N440" s="30">
        <v>-7</v>
      </c>
      <c r="O440" s="30">
        <v>70</v>
      </c>
      <c r="P440" s="30">
        <v>65</v>
      </c>
      <c r="Q440" s="30" t="s">
        <v>41</v>
      </c>
      <c r="R440" s="30" t="s">
        <v>41</v>
      </c>
      <c r="S440" s="30" t="s">
        <v>41</v>
      </c>
      <c r="T440" s="30" t="s">
        <v>41</v>
      </c>
      <c r="U440" s="32">
        <v>4</v>
      </c>
      <c r="V440" s="35">
        <v>5</v>
      </c>
      <c r="Y440" s="31" t="s">
        <v>270</v>
      </c>
      <c r="Z440" s="30">
        <v>-19.7</v>
      </c>
      <c r="AA440" s="30">
        <v>-17.5</v>
      </c>
      <c r="AB440" s="30">
        <v>-11</v>
      </c>
      <c r="AC440" s="30">
        <v>-2.5</v>
      </c>
      <c r="AD440" s="30">
        <v>3.1</v>
      </c>
      <c r="AE440" s="30">
        <v>11.5</v>
      </c>
      <c r="AF440" s="30">
        <v>15.4</v>
      </c>
      <c r="AG440" s="30">
        <v>16</v>
      </c>
      <c r="AH440" s="30">
        <v>11.4</v>
      </c>
      <c r="AI440" s="30">
        <v>2.8</v>
      </c>
      <c r="AJ440" s="30">
        <v>-8.3000000000000007</v>
      </c>
      <c r="AK440" s="30">
        <v>-16.8</v>
      </c>
      <c r="AL440" s="30">
        <v>-1.3</v>
      </c>
    </row>
    <row r="441" spans="1:38" x14ac:dyDescent="0.25">
      <c r="A441" s="31" t="s">
        <v>924</v>
      </c>
      <c r="B441" s="30">
        <v>-34</v>
      </c>
      <c r="C441" s="30">
        <v>-31</v>
      </c>
      <c r="D441" s="30">
        <v>-32</v>
      </c>
      <c r="E441" s="30">
        <v>-29</v>
      </c>
      <c r="F441" s="30">
        <v>-24</v>
      </c>
      <c r="G441" s="30">
        <v>-40</v>
      </c>
      <c r="H441" s="30">
        <v>10.4</v>
      </c>
      <c r="I441" s="30">
        <v>158</v>
      </c>
      <c r="J441" s="30">
        <v>-13.2</v>
      </c>
      <c r="K441" s="30">
        <v>204</v>
      </c>
      <c r="L441" s="30">
        <v>-9.3000000000000007</v>
      </c>
      <c r="M441" s="30">
        <v>220</v>
      </c>
      <c r="N441" s="30">
        <v>-8</v>
      </c>
      <c r="O441" s="30">
        <v>69</v>
      </c>
      <c r="P441" s="30">
        <v>63</v>
      </c>
      <c r="Q441" s="30">
        <v>46</v>
      </c>
      <c r="R441" s="30" t="s">
        <v>140</v>
      </c>
      <c r="S441" s="30">
        <v>4.4000000000000004</v>
      </c>
      <c r="T441" s="30">
        <v>2.2000000000000002</v>
      </c>
      <c r="U441" s="32">
        <v>4</v>
      </c>
      <c r="V441" s="35">
        <v>5</v>
      </c>
      <c r="Y441" s="31" t="s">
        <v>269</v>
      </c>
      <c r="Z441" s="30">
        <v>-19.8</v>
      </c>
      <c r="AA441" s="30">
        <v>-15.1</v>
      </c>
      <c r="AB441" s="30">
        <v>-5.9</v>
      </c>
      <c r="AC441" s="30">
        <v>4.9000000000000004</v>
      </c>
      <c r="AD441" s="30">
        <v>12.5</v>
      </c>
      <c r="AE441" s="30">
        <v>18.100000000000001</v>
      </c>
      <c r="AF441" s="30">
        <v>21.4</v>
      </c>
      <c r="AG441" s="30">
        <v>19.600000000000001</v>
      </c>
      <c r="AH441" s="30">
        <v>13.2</v>
      </c>
      <c r="AI441" s="30">
        <v>4.3</v>
      </c>
      <c r="AJ441" s="30">
        <v>-7.8</v>
      </c>
      <c r="AK441" s="30">
        <v>-17.7</v>
      </c>
      <c r="AL441" s="30">
        <v>2.2999999999999998</v>
      </c>
    </row>
    <row r="442" spans="1:38" x14ac:dyDescent="0.25">
      <c r="A442" s="31" t="s">
        <v>268</v>
      </c>
      <c r="B442" s="30">
        <v>-38</v>
      </c>
      <c r="C442" s="30">
        <v>-37</v>
      </c>
      <c r="D442" s="30">
        <v>-37</v>
      </c>
      <c r="E442" s="30">
        <v>-35</v>
      </c>
      <c r="F442" s="30">
        <v>-31</v>
      </c>
      <c r="G442" s="30">
        <v>-45</v>
      </c>
      <c r="H442" s="30">
        <v>9.9</v>
      </c>
      <c r="I442" s="30">
        <v>171</v>
      </c>
      <c r="J442" s="30">
        <v>-15.4</v>
      </c>
      <c r="K442" s="30">
        <v>223</v>
      </c>
      <c r="L442" s="30">
        <v>-10.8</v>
      </c>
      <c r="M442" s="30">
        <v>238</v>
      </c>
      <c r="N442" s="30">
        <v>-9.5</v>
      </c>
      <c r="O442" s="30">
        <v>79</v>
      </c>
      <c r="P442" s="30">
        <v>77</v>
      </c>
      <c r="Q442" s="30">
        <v>93</v>
      </c>
      <c r="R442" s="30" t="s">
        <v>150</v>
      </c>
      <c r="S442" s="30">
        <v>5.7</v>
      </c>
      <c r="T442" s="30">
        <v>3.9</v>
      </c>
      <c r="U442" s="32">
        <v>4</v>
      </c>
      <c r="V442" s="35">
        <v>5</v>
      </c>
      <c r="Y442" s="31" t="s">
        <v>268</v>
      </c>
      <c r="Z442" s="30">
        <v>-25.6</v>
      </c>
      <c r="AA442" s="30">
        <v>-20.3</v>
      </c>
      <c r="AB442" s="30">
        <v>-10.1</v>
      </c>
      <c r="AC442" s="30">
        <v>1.3</v>
      </c>
      <c r="AD442" s="30">
        <v>8.6999999999999993</v>
      </c>
      <c r="AE442" s="30">
        <v>15.6</v>
      </c>
      <c r="AF442" s="30">
        <v>19.899999999999999</v>
      </c>
      <c r="AG442" s="30">
        <v>18.7</v>
      </c>
      <c r="AH442" s="30">
        <v>12.6</v>
      </c>
      <c r="AI442" s="30">
        <v>3</v>
      </c>
      <c r="AJ442" s="30">
        <v>-10.7</v>
      </c>
      <c r="AK442" s="30">
        <v>-22</v>
      </c>
      <c r="AL442" s="30">
        <v>-0.7</v>
      </c>
    </row>
    <row r="443" spans="1:38" x14ac:dyDescent="0.25">
      <c r="A443" s="31" t="s">
        <v>267</v>
      </c>
      <c r="B443" s="30">
        <v>-40</v>
      </c>
      <c r="C443" s="30">
        <v>-38</v>
      </c>
      <c r="D443" s="30">
        <v>-38</v>
      </c>
      <c r="E443" s="30">
        <v>-36</v>
      </c>
      <c r="F443" s="30">
        <v>-31</v>
      </c>
      <c r="G443" s="30">
        <v>-53</v>
      </c>
      <c r="H443" s="30">
        <v>13.7</v>
      </c>
      <c r="I443" s="30">
        <v>175</v>
      </c>
      <c r="J443" s="30">
        <v>-15.5</v>
      </c>
      <c r="K443" s="30">
        <v>229</v>
      </c>
      <c r="L443" s="30">
        <v>-10.9</v>
      </c>
      <c r="M443" s="30">
        <v>244</v>
      </c>
      <c r="N443" s="30">
        <v>-9.6</v>
      </c>
      <c r="O443" s="30">
        <v>78</v>
      </c>
      <c r="P443" s="30">
        <v>72</v>
      </c>
      <c r="Q443" s="30">
        <v>119</v>
      </c>
      <c r="R443" s="30" t="s">
        <v>155</v>
      </c>
      <c r="S443" s="30" t="s">
        <v>41</v>
      </c>
      <c r="T443" s="30" t="s">
        <v>41</v>
      </c>
      <c r="U443" s="32">
        <v>4</v>
      </c>
      <c r="V443" s="35">
        <v>5</v>
      </c>
      <c r="Y443" s="31" t="s">
        <v>267</v>
      </c>
      <c r="Z443" s="30">
        <v>-26.4</v>
      </c>
      <c r="AA443" s="30">
        <v>-21.1</v>
      </c>
      <c r="AB443" s="30">
        <v>-11</v>
      </c>
      <c r="AC443" s="30">
        <v>0.3</v>
      </c>
      <c r="AD443" s="30">
        <v>8.1999999999999993</v>
      </c>
      <c r="AE443" s="30">
        <v>15.1</v>
      </c>
      <c r="AF443" s="30">
        <v>19.3</v>
      </c>
      <c r="AG443" s="30">
        <v>18.2</v>
      </c>
      <c r="AH443" s="30">
        <v>12.1</v>
      </c>
      <c r="AI443" s="30">
        <v>2.6</v>
      </c>
      <c r="AJ443" s="30">
        <v>-10.8</v>
      </c>
      <c r="AK443" s="30">
        <v>-21.8</v>
      </c>
      <c r="AL443" s="30">
        <v>-1.3</v>
      </c>
    </row>
    <row r="444" spans="1:38" x14ac:dyDescent="0.25">
      <c r="A444" s="31" t="s">
        <v>925</v>
      </c>
      <c r="B444" s="30">
        <v>-39</v>
      </c>
      <c r="C444" s="30">
        <v>-36</v>
      </c>
      <c r="D444" s="30">
        <v>-36</v>
      </c>
      <c r="E444" s="30">
        <v>-33</v>
      </c>
      <c r="F444" s="30">
        <v>-27</v>
      </c>
      <c r="G444" s="30">
        <v>-47</v>
      </c>
      <c r="H444" s="30">
        <v>8</v>
      </c>
      <c r="I444" s="30">
        <v>187</v>
      </c>
      <c r="J444" s="30">
        <v>-14.4</v>
      </c>
      <c r="K444" s="30">
        <v>245</v>
      </c>
      <c r="L444" s="30">
        <v>-10.1</v>
      </c>
      <c r="M444" s="30">
        <v>261</v>
      </c>
      <c r="N444" s="30">
        <v>-8.9</v>
      </c>
      <c r="O444" s="30">
        <v>77</v>
      </c>
      <c r="P444" s="30">
        <v>75</v>
      </c>
      <c r="Q444" s="30">
        <v>193</v>
      </c>
      <c r="R444" s="30" t="s">
        <v>142</v>
      </c>
      <c r="S444" s="30">
        <v>3.8</v>
      </c>
      <c r="T444" s="30">
        <v>3.6</v>
      </c>
      <c r="U444" s="32">
        <v>4</v>
      </c>
      <c r="V444" s="35">
        <v>5</v>
      </c>
      <c r="Y444" s="31" t="s">
        <v>266</v>
      </c>
      <c r="Z444" s="30">
        <v>-22.4</v>
      </c>
      <c r="AA444" s="30">
        <v>-19.3</v>
      </c>
      <c r="AB444" s="30">
        <v>-11.7</v>
      </c>
      <c r="AC444" s="30">
        <v>-2.2000000000000002</v>
      </c>
      <c r="AD444" s="30">
        <v>4.9000000000000004</v>
      </c>
      <c r="AE444" s="30">
        <v>12.9</v>
      </c>
      <c r="AF444" s="30">
        <v>16.5</v>
      </c>
      <c r="AG444" s="30">
        <v>15.8</v>
      </c>
      <c r="AH444" s="30">
        <v>10.4</v>
      </c>
      <c r="AI444" s="30">
        <v>1.9</v>
      </c>
      <c r="AJ444" s="30">
        <v>-10.3</v>
      </c>
      <c r="AK444" s="30">
        <v>-19.8</v>
      </c>
      <c r="AL444" s="30">
        <v>-1.9</v>
      </c>
    </row>
    <row r="445" spans="1:38" x14ac:dyDescent="0.25">
      <c r="A445" s="31" t="s">
        <v>265</v>
      </c>
      <c r="B445" s="30">
        <v>-40</v>
      </c>
      <c r="C445" s="30">
        <v>-39</v>
      </c>
      <c r="D445" s="30">
        <v>-37</v>
      </c>
      <c r="E445" s="30">
        <v>-36</v>
      </c>
      <c r="F445" s="30">
        <v>-31</v>
      </c>
      <c r="G445" s="30">
        <v>-46</v>
      </c>
      <c r="H445" s="30">
        <v>13.1</v>
      </c>
      <c r="I445" s="30">
        <v>176</v>
      </c>
      <c r="J445" s="30">
        <v>-16.2</v>
      </c>
      <c r="K445" s="30">
        <v>227</v>
      </c>
      <c r="L445" s="30">
        <v>-11.5</v>
      </c>
      <c r="M445" s="30">
        <v>241</v>
      </c>
      <c r="N445" s="30">
        <v>-10.4</v>
      </c>
      <c r="O445" s="30">
        <v>79</v>
      </c>
      <c r="P445" s="30">
        <v>70</v>
      </c>
      <c r="Q445" s="30">
        <v>82</v>
      </c>
      <c r="R445" s="30" t="s">
        <v>140</v>
      </c>
      <c r="S445" s="30" t="s">
        <v>41</v>
      </c>
      <c r="T445" s="30" t="s">
        <v>41</v>
      </c>
      <c r="U445" s="32">
        <v>4</v>
      </c>
      <c r="V445" s="35">
        <v>5</v>
      </c>
      <c r="Y445" s="31" t="s">
        <v>265</v>
      </c>
      <c r="Z445" s="30">
        <v>-26.5</v>
      </c>
      <c r="AA445" s="30">
        <v>-21.1</v>
      </c>
      <c r="AB445" s="30">
        <v>-11.4</v>
      </c>
      <c r="AC445" s="30">
        <v>1.4</v>
      </c>
      <c r="AD445" s="30">
        <v>9.6</v>
      </c>
      <c r="AE445" s="30">
        <v>16.2</v>
      </c>
      <c r="AF445" s="30">
        <v>19.8</v>
      </c>
      <c r="AG445" s="30">
        <v>17.899999999999999</v>
      </c>
      <c r="AH445" s="30">
        <v>11</v>
      </c>
      <c r="AI445" s="30">
        <v>1.1000000000000001</v>
      </c>
      <c r="AJ445" s="30">
        <v>-12.6</v>
      </c>
      <c r="AK445" s="30">
        <v>-23.6</v>
      </c>
      <c r="AL445" s="30">
        <v>-1.5</v>
      </c>
    </row>
    <row r="446" spans="1:38" x14ac:dyDescent="0.25">
      <c r="A446" s="31" t="s">
        <v>926</v>
      </c>
      <c r="B446" s="30">
        <v>-37</v>
      </c>
      <c r="C446" s="30">
        <v>-34</v>
      </c>
      <c r="D446" s="30">
        <v>-33</v>
      </c>
      <c r="E446" s="30">
        <v>-32</v>
      </c>
      <c r="F446" s="30">
        <v>-25</v>
      </c>
      <c r="G446" s="30">
        <v>-40</v>
      </c>
      <c r="H446" s="30">
        <v>5.7</v>
      </c>
      <c r="I446" s="30">
        <v>207</v>
      </c>
      <c r="J446" s="30">
        <v>-14.1</v>
      </c>
      <c r="K446" s="30">
        <v>274</v>
      </c>
      <c r="L446" s="30">
        <v>-9.6</v>
      </c>
      <c r="M446" s="30">
        <v>293</v>
      </c>
      <c r="N446" s="30">
        <v>-8.4</v>
      </c>
      <c r="O446" s="30">
        <v>62</v>
      </c>
      <c r="P446" s="30">
        <v>62</v>
      </c>
      <c r="Q446" s="30">
        <v>74</v>
      </c>
      <c r="R446" s="30" t="s">
        <v>165</v>
      </c>
      <c r="S446" s="30">
        <v>3.9</v>
      </c>
      <c r="T446" s="30">
        <v>3.8</v>
      </c>
      <c r="U446" s="32">
        <v>4</v>
      </c>
      <c r="V446" s="35">
        <v>5</v>
      </c>
      <c r="Y446" s="31" t="s">
        <v>264</v>
      </c>
      <c r="Z446" s="30">
        <v>-21.1</v>
      </c>
      <c r="AA446" s="30">
        <v>-18.8</v>
      </c>
      <c r="AB446" s="30">
        <v>-12.9</v>
      </c>
      <c r="AC446" s="30">
        <v>-4.5</v>
      </c>
      <c r="AD446" s="30">
        <v>1.8</v>
      </c>
      <c r="AE446" s="30">
        <v>7.5</v>
      </c>
      <c r="AF446" s="30">
        <v>12.4</v>
      </c>
      <c r="AG446" s="30">
        <v>13.3</v>
      </c>
      <c r="AH446" s="30">
        <v>8.5</v>
      </c>
      <c r="AI446" s="30">
        <v>-1.8</v>
      </c>
      <c r="AJ446" s="30">
        <v>-13.9</v>
      </c>
      <c r="AK446" s="30">
        <v>-19.7</v>
      </c>
      <c r="AL446" s="30">
        <v>-4.0999999999999996</v>
      </c>
    </row>
    <row r="447" spans="1:38" x14ac:dyDescent="0.25">
      <c r="A447" s="31" t="s">
        <v>927</v>
      </c>
      <c r="B447" s="30">
        <v>-43</v>
      </c>
      <c r="C447" s="30">
        <v>-43</v>
      </c>
      <c r="D447" s="30">
        <v>-42</v>
      </c>
      <c r="E447" s="30">
        <v>-40</v>
      </c>
      <c r="F447" s="30">
        <v>-32</v>
      </c>
      <c r="G447" s="30">
        <v>-52</v>
      </c>
      <c r="H447" s="30">
        <v>13.1</v>
      </c>
      <c r="I447" s="30">
        <v>179</v>
      </c>
      <c r="J447" s="30">
        <v>-17.399999999999999</v>
      </c>
      <c r="K447" s="30">
        <v>232</v>
      </c>
      <c r="L447" s="30">
        <v>-12.5</v>
      </c>
      <c r="M447" s="30">
        <v>248</v>
      </c>
      <c r="N447" s="30">
        <v>-11.1</v>
      </c>
      <c r="O447" s="30">
        <v>77</v>
      </c>
      <c r="P447" s="30">
        <v>72</v>
      </c>
      <c r="Q447" s="30">
        <v>63</v>
      </c>
      <c r="R447" s="30" t="s">
        <v>165</v>
      </c>
      <c r="S447" s="30">
        <v>3.5</v>
      </c>
      <c r="T447" s="30">
        <v>1.5</v>
      </c>
      <c r="U447" s="32">
        <v>4</v>
      </c>
      <c r="V447" s="35">
        <v>5</v>
      </c>
      <c r="Y447" s="31" t="s">
        <v>263</v>
      </c>
      <c r="Z447" s="30">
        <v>-26.9</v>
      </c>
      <c r="AA447" s="30">
        <v>-21.5</v>
      </c>
      <c r="AB447" s="30">
        <v>-11</v>
      </c>
      <c r="AC447" s="30">
        <v>0.4</v>
      </c>
      <c r="AD447" s="30">
        <v>8.3000000000000007</v>
      </c>
      <c r="AE447" s="30">
        <v>15</v>
      </c>
      <c r="AF447" s="30">
        <v>18.100000000000001</v>
      </c>
      <c r="AG447" s="30">
        <v>16.8</v>
      </c>
      <c r="AH447" s="30">
        <v>10.6</v>
      </c>
      <c r="AI447" s="30">
        <v>1.2</v>
      </c>
      <c r="AJ447" s="30">
        <v>-13.3</v>
      </c>
      <c r="AK447" s="30">
        <v>-24.7</v>
      </c>
      <c r="AL447" s="30">
        <v>-2.2999999999999998</v>
      </c>
    </row>
    <row r="448" spans="1:38" x14ac:dyDescent="0.25">
      <c r="A448" s="31" t="s">
        <v>262</v>
      </c>
      <c r="B448" s="30">
        <v>-30</v>
      </c>
      <c r="C448" s="30">
        <v>-29</v>
      </c>
      <c r="D448" s="30">
        <v>-28</v>
      </c>
      <c r="E448" s="30">
        <v>-26</v>
      </c>
      <c r="F448" s="30">
        <v>-23</v>
      </c>
      <c r="G448" s="30">
        <v>-43</v>
      </c>
      <c r="H448" s="30">
        <v>11.6</v>
      </c>
      <c r="I448" s="30">
        <v>181</v>
      </c>
      <c r="J448" s="30">
        <v>-10.8</v>
      </c>
      <c r="K448" s="30">
        <v>263</v>
      </c>
      <c r="L448" s="30">
        <v>-6.2</v>
      </c>
      <c r="M448" s="30">
        <v>283</v>
      </c>
      <c r="N448" s="30">
        <v>-5.0999999999999996</v>
      </c>
      <c r="O448" s="30">
        <v>65</v>
      </c>
      <c r="P448" s="30">
        <v>53</v>
      </c>
      <c r="Q448" s="30">
        <v>133</v>
      </c>
      <c r="R448" s="30" t="s">
        <v>142</v>
      </c>
      <c r="S448" s="30" t="s">
        <v>41</v>
      </c>
      <c r="T448" s="30">
        <v>3</v>
      </c>
      <c r="U448" s="32">
        <v>4</v>
      </c>
      <c r="V448" s="35">
        <v>5</v>
      </c>
      <c r="Y448" s="31" t="s">
        <v>262</v>
      </c>
      <c r="Z448" s="30">
        <v>-18.2</v>
      </c>
      <c r="AA448" s="30">
        <v>-15.3</v>
      </c>
      <c r="AB448" s="30">
        <v>-9.3000000000000007</v>
      </c>
      <c r="AC448" s="30">
        <v>-1.2</v>
      </c>
      <c r="AD448" s="30">
        <v>2.9</v>
      </c>
      <c r="AE448" s="30">
        <v>7.5</v>
      </c>
      <c r="AF448" s="30">
        <v>12.6</v>
      </c>
      <c r="AG448" s="30">
        <v>14.7</v>
      </c>
      <c r="AH448" s="30">
        <v>11.4</v>
      </c>
      <c r="AI448" s="30">
        <v>3.2</v>
      </c>
      <c r="AJ448" s="30">
        <v>-7.5</v>
      </c>
      <c r="AK448" s="30">
        <v>-14.9</v>
      </c>
      <c r="AL448" s="30">
        <v>-1.2</v>
      </c>
    </row>
    <row r="449" spans="1:38" x14ac:dyDescent="0.25">
      <c r="A449" s="31" t="s">
        <v>928</v>
      </c>
      <c r="B449" s="30">
        <v>-28</v>
      </c>
      <c r="C449" s="30">
        <v>-27</v>
      </c>
      <c r="D449" s="30">
        <v>-26</v>
      </c>
      <c r="E449" s="30">
        <v>-24</v>
      </c>
      <c r="F449" s="30">
        <v>-21</v>
      </c>
      <c r="G449" s="30">
        <v>-40</v>
      </c>
      <c r="H449" s="30">
        <v>9.9</v>
      </c>
      <c r="I449" s="30">
        <v>162</v>
      </c>
      <c r="J449" s="30">
        <v>-10.5</v>
      </c>
      <c r="K449" s="30">
        <v>234</v>
      </c>
      <c r="L449" s="30">
        <v>-6</v>
      </c>
      <c r="M449" s="30">
        <v>254</v>
      </c>
      <c r="N449" s="30">
        <v>-4.8</v>
      </c>
      <c r="O449" s="30">
        <v>65</v>
      </c>
      <c r="P449" s="30">
        <v>57</v>
      </c>
      <c r="Q449" s="30">
        <v>153</v>
      </c>
      <c r="R449" s="30" t="s">
        <v>142</v>
      </c>
      <c r="S449" s="30">
        <v>4.2</v>
      </c>
      <c r="T449" s="30">
        <v>3.3</v>
      </c>
      <c r="U449" s="32">
        <v>4</v>
      </c>
      <c r="V449" s="35">
        <v>5</v>
      </c>
      <c r="Y449" s="31" t="s">
        <v>261</v>
      </c>
      <c r="Z449" s="30">
        <v>-15.9</v>
      </c>
      <c r="AA449" s="30">
        <v>-13.8</v>
      </c>
      <c r="AB449" s="30">
        <v>-6.8</v>
      </c>
      <c r="AC449" s="30">
        <v>0.9</v>
      </c>
      <c r="AD449" s="30">
        <v>6.1</v>
      </c>
      <c r="AE449" s="30">
        <v>10.8</v>
      </c>
      <c r="AF449" s="30">
        <v>14.6</v>
      </c>
      <c r="AG449" s="30">
        <v>16.7</v>
      </c>
      <c r="AH449" s="30">
        <v>12.8</v>
      </c>
      <c r="AI449" s="30">
        <v>5.5</v>
      </c>
      <c r="AJ449" s="30">
        <v>-4.5999999999999996</v>
      </c>
      <c r="AK449" s="30">
        <v>-12.9</v>
      </c>
      <c r="AL449" s="30">
        <v>1.1000000000000001</v>
      </c>
    </row>
    <row r="450" spans="1:38" x14ac:dyDescent="0.25">
      <c r="A450" s="31" t="s">
        <v>929</v>
      </c>
      <c r="B450" s="30">
        <v>-46</v>
      </c>
      <c r="C450" s="30">
        <v>-45</v>
      </c>
      <c r="D450" s="30">
        <v>-45</v>
      </c>
      <c r="E450" s="30">
        <v>-44</v>
      </c>
      <c r="F450" s="30">
        <v>-35</v>
      </c>
      <c r="G450" s="30">
        <v>-51</v>
      </c>
      <c r="H450" s="30">
        <v>14.7</v>
      </c>
      <c r="I450" s="30">
        <v>206</v>
      </c>
      <c r="J450" s="30">
        <v>-19.899999999999999</v>
      </c>
      <c r="K450" s="30">
        <v>262</v>
      </c>
      <c r="L450" s="30">
        <v>-14.7</v>
      </c>
      <c r="M450" s="30">
        <v>280</v>
      </c>
      <c r="N450" s="30">
        <v>-13.2</v>
      </c>
      <c r="O450" s="30">
        <v>74</v>
      </c>
      <c r="P450" s="30">
        <v>68</v>
      </c>
      <c r="Q450" s="30">
        <v>59</v>
      </c>
      <c r="R450" s="30" t="s">
        <v>146</v>
      </c>
      <c r="S450" s="30">
        <v>1.7</v>
      </c>
      <c r="T450" s="30">
        <v>1.7</v>
      </c>
      <c r="U450" s="32">
        <v>4</v>
      </c>
      <c r="V450" s="35">
        <v>5</v>
      </c>
      <c r="Y450" s="31" t="s">
        <v>260</v>
      </c>
      <c r="Z450" s="30">
        <v>-31.1</v>
      </c>
      <c r="AA450" s="30">
        <v>-25.8</v>
      </c>
      <c r="AB450" s="30">
        <v>-15.8</v>
      </c>
      <c r="AC450" s="30">
        <v>-3.9</v>
      </c>
      <c r="AD450" s="30">
        <v>5.2</v>
      </c>
      <c r="AE450" s="30">
        <v>12.2</v>
      </c>
      <c r="AF450" s="30">
        <v>15.5</v>
      </c>
      <c r="AG450" s="30">
        <v>12.8</v>
      </c>
      <c r="AH450" s="30">
        <v>5.9</v>
      </c>
      <c r="AI450" s="30">
        <v>-4.7</v>
      </c>
      <c r="AJ450" s="30">
        <v>-19.899999999999999</v>
      </c>
      <c r="AK450" s="30">
        <v>-30</v>
      </c>
      <c r="AL450" s="30">
        <v>-6.6</v>
      </c>
    </row>
    <row r="451" spans="1:38" x14ac:dyDescent="0.25">
      <c r="A451" s="31" t="s">
        <v>259</v>
      </c>
      <c r="B451" s="30">
        <v>-43</v>
      </c>
      <c r="C451" s="30">
        <v>-42</v>
      </c>
      <c r="D451" s="30">
        <v>-41</v>
      </c>
      <c r="E451" s="30">
        <v>-40</v>
      </c>
      <c r="F451" s="30">
        <v>-36</v>
      </c>
      <c r="G451" s="30">
        <v>-52</v>
      </c>
      <c r="H451" s="30">
        <v>12.1</v>
      </c>
      <c r="I451" s="30">
        <v>183</v>
      </c>
      <c r="J451" s="30">
        <v>-18.399999999999999</v>
      </c>
      <c r="K451" s="30">
        <v>238</v>
      </c>
      <c r="L451" s="30">
        <v>-13.3</v>
      </c>
      <c r="M451" s="30">
        <v>253</v>
      </c>
      <c r="N451" s="30">
        <v>-11.9</v>
      </c>
      <c r="O451" s="30">
        <v>76</v>
      </c>
      <c r="P451" s="30">
        <v>69</v>
      </c>
      <c r="Q451" s="30">
        <v>57</v>
      </c>
      <c r="R451" s="30" t="s">
        <v>41</v>
      </c>
      <c r="S451" s="30" t="s">
        <v>41</v>
      </c>
      <c r="T451" s="30" t="s">
        <v>41</v>
      </c>
      <c r="U451" s="32">
        <v>4</v>
      </c>
      <c r="V451" s="35">
        <v>5</v>
      </c>
      <c r="Y451" s="31" t="s">
        <v>259</v>
      </c>
      <c r="Z451" s="30">
        <v>-31.1</v>
      </c>
      <c r="AA451" s="30">
        <v>-23</v>
      </c>
      <c r="AB451" s="30">
        <v>-12.1</v>
      </c>
      <c r="AC451" s="30">
        <v>0.2</v>
      </c>
      <c r="AD451" s="30">
        <v>8.1</v>
      </c>
      <c r="AE451" s="30">
        <v>14.8</v>
      </c>
      <c r="AF451" s="30">
        <v>18.8</v>
      </c>
      <c r="AG451" s="30">
        <v>16.5</v>
      </c>
      <c r="AH451" s="30">
        <v>9.5</v>
      </c>
      <c r="AI451" s="30">
        <v>-0.8</v>
      </c>
      <c r="AJ451" s="30">
        <v>-16.600000000000001</v>
      </c>
      <c r="AK451" s="30">
        <v>-28.6</v>
      </c>
      <c r="AL451" s="30">
        <v>-3.7</v>
      </c>
    </row>
    <row r="452" spans="1:38" x14ac:dyDescent="0.25">
      <c r="A452" s="31" t="s">
        <v>258</v>
      </c>
      <c r="B452" s="30">
        <v>-36</v>
      </c>
      <c r="C452" s="30">
        <v>-34</v>
      </c>
      <c r="D452" s="30">
        <v>-32</v>
      </c>
      <c r="E452" s="30">
        <v>-31</v>
      </c>
      <c r="F452" s="30">
        <v>-28</v>
      </c>
      <c r="G452" s="30">
        <v>-47</v>
      </c>
      <c r="H452" s="30">
        <v>8.6999999999999993</v>
      </c>
      <c r="I452" s="30">
        <v>166</v>
      </c>
      <c r="J452" s="30">
        <v>-13.9</v>
      </c>
      <c r="K452" s="30">
        <v>217</v>
      </c>
      <c r="L452" s="30">
        <v>-9.6999999999999993</v>
      </c>
      <c r="M452" s="30">
        <v>231</v>
      </c>
      <c r="N452" s="30">
        <v>-8.5</v>
      </c>
      <c r="O452" s="30">
        <v>74</v>
      </c>
      <c r="P452" s="30">
        <v>70</v>
      </c>
      <c r="Q452" s="30">
        <v>137</v>
      </c>
      <c r="R452" s="30" t="s">
        <v>150</v>
      </c>
      <c r="S452" s="30" t="s">
        <v>41</v>
      </c>
      <c r="T452" s="30">
        <v>4.2</v>
      </c>
      <c r="U452" s="32">
        <v>4</v>
      </c>
      <c r="V452" s="35">
        <v>5</v>
      </c>
      <c r="Y452" s="31" t="s">
        <v>258</v>
      </c>
      <c r="Z452" s="30">
        <v>-23.3</v>
      </c>
      <c r="AA452" s="30">
        <v>-18.2</v>
      </c>
      <c r="AB452" s="30">
        <v>-9.4</v>
      </c>
      <c r="AC452" s="30">
        <v>2.1</v>
      </c>
      <c r="AD452" s="30">
        <v>10.3</v>
      </c>
      <c r="AE452" s="30">
        <v>16.7</v>
      </c>
      <c r="AF452" s="30">
        <v>20.5</v>
      </c>
      <c r="AG452" s="30">
        <v>19.2</v>
      </c>
      <c r="AH452" s="30">
        <v>13.1</v>
      </c>
      <c r="AI452" s="30">
        <v>3.9</v>
      </c>
      <c r="AJ452" s="30">
        <v>-8.6999999999999993</v>
      </c>
      <c r="AK452" s="30">
        <v>-19.2</v>
      </c>
      <c r="AL452" s="30">
        <v>0.6</v>
      </c>
    </row>
    <row r="453" spans="1:38" x14ac:dyDescent="0.25">
      <c r="A453" s="31" t="s">
        <v>930</v>
      </c>
      <c r="B453" s="30">
        <v>-34</v>
      </c>
      <c r="C453" s="30">
        <v>-32</v>
      </c>
      <c r="D453" s="30">
        <v>-32</v>
      </c>
      <c r="E453" s="30">
        <v>-29</v>
      </c>
      <c r="F453" s="30">
        <v>-25</v>
      </c>
      <c r="G453" s="30">
        <v>-43</v>
      </c>
      <c r="H453" s="30">
        <v>7.7</v>
      </c>
      <c r="I453" s="30">
        <v>158</v>
      </c>
      <c r="J453" s="30">
        <v>-13.6</v>
      </c>
      <c r="K453" s="30">
        <v>204</v>
      </c>
      <c r="L453" s="30">
        <v>-9.5</v>
      </c>
      <c r="M453" s="30">
        <v>219</v>
      </c>
      <c r="N453" s="30">
        <v>-8.3000000000000007</v>
      </c>
      <c r="O453" s="30">
        <v>74</v>
      </c>
      <c r="P453" s="30">
        <v>67</v>
      </c>
      <c r="Q453" s="30">
        <v>81</v>
      </c>
      <c r="R453" s="30" t="s">
        <v>155</v>
      </c>
      <c r="S453" s="30">
        <v>3.9</v>
      </c>
      <c r="T453" s="30">
        <v>3</v>
      </c>
      <c r="U453" s="32">
        <v>4</v>
      </c>
      <c r="V453" s="35">
        <v>5</v>
      </c>
      <c r="Y453" s="31" t="s">
        <v>257</v>
      </c>
      <c r="Z453" s="30">
        <v>-20.2</v>
      </c>
      <c r="AA453" s="30">
        <v>-16.100000000000001</v>
      </c>
      <c r="AB453" s="30">
        <v>-6.8</v>
      </c>
      <c r="AC453" s="30">
        <v>4.5</v>
      </c>
      <c r="AD453" s="30">
        <v>12.3</v>
      </c>
      <c r="AE453" s="30">
        <v>18</v>
      </c>
      <c r="AF453" s="30">
        <v>21.3</v>
      </c>
      <c r="AG453" s="30">
        <v>19.600000000000001</v>
      </c>
      <c r="AH453" s="30">
        <v>13.5</v>
      </c>
      <c r="AI453" s="30">
        <v>4.9000000000000004</v>
      </c>
      <c r="AJ453" s="30">
        <v>-7.3</v>
      </c>
      <c r="AK453" s="30">
        <v>-17.7</v>
      </c>
      <c r="AL453" s="30">
        <v>2.2000000000000002</v>
      </c>
    </row>
    <row r="454" spans="1:38" x14ac:dyDescent="0.25">
      <c r="A454" s="31" t="s">
        <v>256</v>
      </c>
      <c r="B454" s="30">
        <v>-35</v>
      </c>
      <c r="C454" s="30">
        <v>-34</v>
      </c>
      <c r="D454" s="30">
        <v>-34</v>
      </c>
      <c r="E454" s="30">
        <v>-32</v>
      </c>
      <c r="F454" s="30">
        <v>-29</v>
      </c>
      <c r="G454" s="30">
        <v>-43</v>
      </c>
      <c r="H454" s="30">
        <v>5.3</v>
      </c>
      <c r="I454" s="30">
        <v>198</v>
      </c>
      <c r="J454" s="30">
        <v>-13.8</v>
      </c>
      <c r="K454" s="30">
        <v>274</v>
      </c>
      <c r="L454" s="30">
        <v>-8.8000000000000007</v>
      </c>
      <c r="M454" s="30">
        <v>292</v>
      </c>
      <c r="N454" s="30">
        <v>-7.7</v>
      </c>
      <c r="O454" s="30">
        <v>73</v>
      </c>
      <c r="P454" s="30">
        <v>71</v>
      </c>
      <c r="Q454" s="30" t="s">
        <v>41</v>
      </c>
      <c r="R454" s="30" t="s">
        <v>142</v>
      </c>
      <c r="S454" s="30">
        <v>10.3</v>
      </c>
      <c r="T454" s="30">
        <v>6.3</v>
      </c>
      <c r="U454" s="32">
        <v>4</v>
      </c>
      <c r="V454" s="35">
        <v>5</v>
      </c>
      <c r="Y454" s="31" t="s">
        <v>256</v>
      </c>
      <c r="Z454" s="30">
        <v>-23.7</v>
      </c>
      <c r="AA454" s="30">
        <v>-18.899999999999999</v>
      </c>
      <c r="AB454" s="30">
        <v>-11.6</v>
      </c>
      <c r="AC454" s="30">
        <v>-2.7</v>
      </c>
      <c r="AD454" s="30">
        <v>1.9</v>
      </c>
      <c r="AE454" s="30">
        <v>6.6</v>
      </c>
      <c r="AF454" s="30">
        <v>12</v>
      </c>
      <c r="AG454" s="30">
        <v>13.5</v>
      </c>
      <c r="AH454" s="30">
        <v>10</v>
      </c>
      <c r="AI454" s="30">
        <v>0.7</v>
      </c>
      <c r="AJ454" s="30">
        <v>-12.9</v>
      </c>
      <c r="AK454" s="30">
        <v>-21.3</v>
      </c>
      <c r="AL454" s="30">
        <v>-3.9</v>
      </c>
    </row>
    <row r="455" spans="1:38" x14ac:dyDescent="0.25">
      <c r="A455" s="31" t="s">
        <v>255</v>
      </c>
      <c r="B455" s="30">
        <v>-31</v>
      </c>
      <c r="C455" s="30">
        <v>-30</v>
      </c>
      <c r="D455" s="30">
        <v>-30</v>
      </c>
      <c r="E455" s="30">
        <v>-28</v>
      </c>
      <c r="F455" s="30">
        <v>-25</v>
      </c>
      <c r="G455" s="30">
        <v>-41</v>
      </c>
      <c r="H455" s="30">
        <v>6.2</v>
      </c>
      <c r="I455" s="30">
        <v>206</v>
      </c>
      <c r="J455" s="30">
        <v>-12</v>
      </c>
      <c r="K455" s="30">
        <v>281</v>
      </c>
      <c r="L455" s="30">
        <v>-7.7</v>
      </c>
      <c r="M455" s="30">
        <v>303</v>
      </c>
      <c r="N455" s="30">
        <v>-6.5</v>
      </c>
      <c r="O455" s="30">
        <v>48</v>
      </c>
      <c r="P455" s="30">
        <v>45</v>
      </c>
      <c r="Q455" s="30" t="s">
        <v>41</v>
      </c>
      <c r="R455" s="30" t="s">
        <v>140</v>
      </c>
      <c r="S455" s="30" t="s">
        <v>41</v>
      </c>
      <c r="T455" s="30">
        <v>4.8</v>
      </c>
      <c r="U455" s="32">
        <v>4</v>
      </c>
      <c r="V455" s="35">
        <v>5</v>
      </c>
      <c r="Y455" s="31" t="s">
        <v>255</v>
      </c>
      <c r="Z455" s="30">
        <v>-20.2</v>
      </c>
      <c r="AA455" s="30">
        <v>-17.3</v>
      </c>
      <c r="AB455" s="30">
        <v>-11.3</v>
      </c>
      <c r="AC455" s="30">
        <v>-4</v>
      </c>
      <c r="AD455" s="30">
        <v>1.4</v>
      </c>
      <c r="AE455" s="30">
        <v>6.1</v>
      </c>
      <c r="AF455" s="30">
        <v>11.5</v>
      </c>
      <c r="AG455" s="30">
        <v>13.3</v>
      </c>
      <c r="AH455" s="30">
        <v>8.9</v>
      </c>
      <c r="AI455" s="30">
        <v>-0.5</v>
      </c>
      <c r="AJ455" s="30">
        <v>-11.4</v>
      </c>
      <c r="AK455" s="30">
        <v>-17.5</v>
      </c>
      <c r="AL455" s="30">
        <v>-3.4</v>
      </c>
    </row>
    <row r="456" spans="1:38" ht="25.5" x14ac:dyDescent="0.25">
      <c r="A456" s="33" t="s">
        <v>254</v>
      </c>
      <c r="B456" s="70"/>
      <c r="C456" s="70"/>
      <c r="D456" s="70"/>
      <c r="E456" s="70"/>
      <c r="F456" s="70"/>
      <c r="G456" s="70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  <c r="S456" s="70"/>
      <c r="T456" s="70"/>
      <c r="U456" s="34"/>
      <c r="Y456" s="33" t="s">
        <v>254</v>
      </c>
      <c r="Z456" s="70"/>
      <c r="AA456" s="70"/>
      <c r="AB456" s="70"/>
      <c r="AC456" s="70"/>
      <c r="AD456" s="70"/>
      <c r="AE456" s="70"/>
      <c r="AF456" s="70"/>
      <c r="AG456" s="70"/>
      <c r="AH456" s="70"/>
      <c r="AI456" s="70"/>
      <c r="AJ456" s="70"/>
      <c r="AK456" s="70"/>
      <c r="AL456" s="70"/>
    </row>
    <row r="457" spans="1:38" x14ac:dyDescent="0.25">
      <c r="A457" s="31" t="s">
        <v>253</v>
      </c>
      <c r="B457" s="30">
        <v>-42</v>
      </c>
      <c r="C457" s="30">
        <v>-39</v>
      </c>
      <c r="D457" s="30">
        <v>-40</v>
      </c>
      <c r="E457" s="30">
        <v>-37</v>
      </c>
      <c r="F457" s="30">
        <v>-23</v>
      </c>
      <c r="G457" s="30">
        <v>-47</v>
      </c>
      <c r="H457" s="30">
        <v>10.9</v>
      </c>
      <c r="I457" s="30">
        <v>164</v>
      </c>
      <c r="J457" s="30">
        <v>-12.3</v>
      </c>
      <c r="K457" s="30">
        <v>223</v>
      </c>
      <c r="L457" s="30">
        <v>-7.9</v>
      </c>
      <c r="M457" s="30">
        <v>239</v>
      </c>
      <c r="N457" s="30">
        <v>-6.8</v>
      </c>
      <c r="O457" s="30">
        <v>79</v>
      </c>
      <c r="P457" s="30">
        <v>76</v>
      </c>
      <c r="Q457" s="30">
        <v>35</v>
      </c>
      <c r="R457" s="30" t="s">
        <v>155</v>
      </c>
      <c r="S457" s="30">
        <v>4.8</v>
      </c>
      <c r="T457" s="30">
        <v>2.2999999999999998</v>
      </c>
      <c r="U457" s="32">
        <v>3</v>
      </c>
      <c r="Y457" s="31" t="s">
        <v>253</v>
      </c>
      <c r="Z457" s="30">
        <v>-25.5</v>
      </c>
      <c r="AA457" s="30">
        <v>-18.5</v>
      </c>
      <c r="AB457" s="30">
        <v>-8.5</v>
      </c>
      <c r="AC457" s="30">
        <v>2.9</v>
      </c>
      <c r="AD457" s="30">
        <v>10.5</v>
      </c>
      <c r="AE457" s="30">
        <v>17.3</v>
      </c>
      <c r="AF457" s="30">
        <v>19.5</v>
      </c>
      <c r="AG457" s="30">
        <v>16.399999999999999</v>
      </c>
      <c r="AH457" s="30">
        <v>9.9</v>
      </c>
      <c r="AI457" s="30">
        <v>1.6</v>
      </c>
      <c r="AJ457" s="30">
        <v>-9.5</v>
      </c>
      <c r="AK457" s="30">
        <v>-17.899999999999999</v>
      </c>
      <c r="AL457" s="30">
        <v>0.3</v>
      </c>
    </row>
    <row r="458" spans="1:38" x14ac:dyDescent="0.25">
      <c r="A458" s="31" t="s">
        <v>252</v>
      </c>
      <c r="B458" s="30">
        <v>-43</v>
      </c>
      <c r="C458" s="30">
        <v>-40</v>
      </c>
      <c r="D458" s="30">
        <v>-39</v>
      </c>
      <c r="E458" s="30">
        <v>-38</v>
      </c>
      <c r="F458" s="30">
        <v>-24</v>
      </c>
      <c r="G458" s="30">
        <v>-49</v>
      </c>
      <c r="H458" s="30">
        <v>10.5</v>
      </c>
      <c r="I458" s="30">
        <v>174</v>
      </c>
      <c r="J458" s="30">
        <v>-11.9</v>
      </c>
      <c r="K458" s="30">
        <v>236</v>
      </c>
      <c r="L458" s="30">
        <v>-7.7</v>
      </c>
      <c r="M458" s="30">
        <v>254</v>
      </c>
      <c r="N458" s="30">
        <v>-6.6</v>
      </c>
      <c r="O458" s="30">
        <v>73</v>
      </c>
      <c r="P458" s="30">
        <v>70</v>
      </c>
      <c r="Q458" s="30">
        <v>36</v>
      </c>
      <c r="R458" s="30" t="s">
        <v>155</v>
      </c>
      <c r="S458" s="30">
        <v>4.0999999999999996</v>
      </c>
      <c r="T458" s="30">
        <v>2.5</v>
      </c>
      <c r="U458" s="32">
        <v>3</v>
      </c>
      <c r="Y458" s="31" t="s">
        <v>252</v>
      </c>
      <c r="Z458" s="30">
        <v>-18.5</v>
      </c>
      <c r="AA458" s="30">
        <v>-17.2</v>
      </c>
      <c r="AB458" s="30">
        <v>-8.9</v>
      </c>
      <c r="AC458" s="30">
        <v>1.3</v>
      </c>
      <c r="AD458" s="30">
        <v>8.9</v>
      </c>
      <c r="AE458" s="30">
        <v>15.6</v>
      </c>
      <c r="AF458" s="30">
        <v>17.7</v>
      </c>
      <c r="AG458" s="30">
        <v>14.9</v>
      </c>
      <c r="AH458" s="30">
        <v>8.8000000000000007</v>
      </c>
      <c r="AI458" s="30">
        <v>1.2</v>
      </c>
      <c r="AJ458" s="30">
        <v>-9.1</v>
      </c>
      <c r="AK458" s="30">
        <v>-16.399999999999999</v>
      </c>
      <c r="AL458" s="30">
        <v>-0.1</v>
      </c>
    </row>
    <row r="459" spans="1:38" ht="25.5" x14ac:dyDescent="0.25">
      <c r="A459" s="33" t="s">
        <v>251</v>
      </c>
      <c r="B459" s="70"/>
      <c r="C459" s="70"/>
      <c r="D459" s="70"/>
      <c r="E459" s="70"/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  <c r="S459" s="70"/>
      <c r="T459" s="70"/>
      <c r="U459" s="34"/>
      <c r="Y459" s="33" t="s">
        <v>251</v>
      </c>
      <c r="Z459" s="70"/>
      <c r="AA459" s="70"/>
      <c r="AB459" s="70"/>
      <c r="AC459" s="70"/>
      <c r="AD459" s="70"/>
      <c r="AE459" s="70"/>
      <c r="AF459" s="70"/>
      <c r="AG459" s="70"/>
      <c r="AH459" s="70"/>
      <c r="AI459" s="70"/>
      <c r="AJ459" s="70"/>
      <c r="AK459" s="70"/>
      <c r="AL459" s="70"/>
    </row>
    <row r="460" spans="1:38" x14ac:dyDescent="0.25">
      <c r="A460" s="31" t="s">
        <v>250</v>
      </c>
      <c r="B460" s="30">
        <v>-39</v>
      </c>
      <c r="C460" s="30">
        <v>-38</v>
      </c>
      <c r="D460" s="30">
        <v>-35</v>
      </c>
      <c r="E460" s="30">
        <v>-34</v>
      </c>
      <c r="F460" s="30">
        <v>-21</v>
      </c>
      <c r="G460" s="30">
        <v>-48</v>
      </c>
      <c r="H460" s="30">
        <v>10.3</v>
      </c>
      <c r="I460" s="30">
        <v>170</v>
      </c>
      <c r="J460" s="30">
        <v>-11.1</v>
      </c>
      <c r="K460" s="30">
        <v>221</v>
      </c>
      <c r="L460" s="30">
        <v>-7.5</v>
      </c>
      <c r="M460" s="30">
        <v>242</v>
      </c>
      <c r="N460" s="30">
        <v>-6.1</v>
      </c>
      <c r="O460" s="30">
        <v>78</v>
      </c>
      <c r="P460" s="30">
        <v>75</v>
      </c>
      <c r="Q460" s="30">
        <v>81</v>
      </c>
      <c r="R460" s="30" t="s">
        <v>155</v>
      </c>
      <c r="S460" s="30" t="s">
        <v>41</v>
      </c>
      <c r="T460" s="30">
        <v>3.1</v>
      </c>
      <c r="U460" s="32">
        <v>1</v>
      </c>
      <c r="V460" s="35">
        <v>2</v>
      </c>
      <c r="Y460" s="31" t="s">
        <v>250</v>
      </c>
      <c r="Z460" s="30">
        <v>-16.399999999999999</v>
      </c>
      <c r="AA460" s="30">
        <v>-15.9</v>
      </c>
      <c r="AB460" s="30">
        <v>9</v>
      </c>
      <c r="AC460" s="30">
        <v>2.9</v>
      </c>
      <c r="AD460" s="30">
        <v>11.1</v>
      </c>
      <c r="AE460" s="30">
        <v>15.9</v>
      </c>
      <c r="AF460" s="30">
        <v>17.600000000000001</v>
      </c>
      <c r="AG460" s="30">
        <v>15.5</v>
      </c>
      <c r="AH460" s="30">
        <v>9.8000000000000007</v>
      </c>
      <c r="AI460" s="30">
        <v>1.5</v>
      </c>
      <c r="AJ460" s="30">
        <v>-6.5</v>
      </c>
      <c r="AK460" s="30">
        <v>-14</v>
      </c>
      <c r="AL460" s="30">
        <v>1</v>
      </c>
    </row>
    <row r="461" spans="1:38" x14ac:dyDescent="0.25">
      <c r="A461" s="31" t="s">
        <v>249</v>
      </c>
      <c r="B461" s="30">
        <v>-42</v>
      </c>
      <c r="C461" s="30">
        <v>-40</v>
      </c>
      <c r="D461" s="30">
        <v>-38</v>
      </c>
      <c r="E461" s="30">
        <v>-35</v>
      </c>
      <c r="F461" s="30">
        <v>-22</v>
      </c>
      <c r="G461" s="30">
        <v>-52</v>
      </c>
      <c r="H461" s="30">
        <v>9.1999999999999993</v>
      </c>
      <c r="I461" s="30">
        <v>172</v>
      </c>
      <c r="J461" s="30">
        <v>-10.6</v>
      </c>
      <c r="K461" s="30">
        <v>229</v>
      </c>
      <c r="L461" s="30">
        <v>-6.8</v>
      </c>
      <c r="M461" s="30">
        <v>248</v>
      </c>
      <c r="N461" s="30">
        <v>-5.6</v>
      </c>
      <c r="O461" s="30">
        <v>81</v>
      </c>
      <c r="P461" s="30">
        <v>78</v>
      </c>
      <c r="Q461" s="30">
        <v>149</v>
      </c>
      <c r="R461" s="30" t="s">
        <v>155</v>
      </c>
      <c r="S461" s="30" t="s">
        <v>41</v>
      </c>
      <c r="T461" s="30">
        <v>2.7</v>
      </c>
      <c r="U461" s="32">
        <v>1</v>
      </c>
      <c r="V461" s="35">
        <v>2</v>
      </c>
      <c r="Y461" s="31" t="s">
        <v>249</v>
      </c>
      <c r="Z461" s="30">
        <v>-16.3</v>
      </c>
      <c r="AA461" s="30">
        <v>-14.8</v>
      </c>
      <c r="AB461" s="30">
        <v>-7.6</v>
      </c>
      <c r="AC461" s="30">
        <v>2.6</v>
      </c>
      <c r="AD461" s="30">
        <v>10</v>
      </c>
      <c r="AE461" s="30">
        <v>14.6</v>
      </c>
      <c r="AF461" s="30">
        <v>16.600000000000001</v>
      </c>
      <c r="AG461" s="30">
        <v>14.2</v>
      </c>
      <c r="AH461" s="30">
        <v>8.6</v>
      </c>
      <c r="AI461" s="30">
        <v>1.2</v>
      </c>
      <c r="AJ461" s="30">
        <v>-7</v>
      </c>
      <c r="AK461" s="30">
        <v>-14</v>
      </c>
      <c r="AL461" s="30">
        <v>0.7</v>
      </c>
    </row>
    <row r="462" spans="1:38" x14ac:dyDescent="0.25">
      <c r="A462" s="31" t="s">
        <v>248</v>
      </c>
      <c r="B462" s="30">
        <v>-39</v>
      </c>
      <c r="C462" s="30">
        <v>-38</v>
      </c>
      <c r="D462" s="30">
        <v>-35</v>
      </c>
      <c r="E462" s="30">
        <v>-34</v>
      </c>
      <c r="F462" s="30">
        <v>-21</v>
      </c>
      <c r="G462" s="30">
        <v>-48</v>
      </c>
      <c r="H462" s="30">
        <v>9.4</v>
      </c>
      <c r="I462" s="30">
        <v>162</v>
      </c>
      <c r="J462" s="30">
        <v>-10.1</v>
      </c>
      <c r="K462" s="30">
        <v>218</v>
      </c>
      <c r="L462" s="30">
        <v>-6.5</v>
      </c>
      <c r="M462" s="30">
        <v>233</v>
      </c>
      <c r="N462" s="30">
        <v>-5.5</v>
      </c>
      <c r="O462" s="30">
        <v>78</v>
      </c>
      <c r="P462" s="30">
        <v>78</v>
      </c>
      <c r="Q462" s="30">
        <v>104</v>
      </c>
      <c r="R462" s="30" t="s">
        <v>155</v>
      </c>
      <c r="S462" s="30">
        <v>4.5</v>
      </c>
      <c r="T462" s="30">
        <v>3</v>
      </c>
      <c r="U462" s="32">
        <v>1</v>
      </c>
      <c r="V462" s="35">
        <v>2</v>
      </c>
      <c r="Y462" s="31" t="s">
        <v>248</v>
      </c>
      <c r="Z462" s="30">
        <v>-15.8</v>
      </c>
      <c r="AA462" s="30">
        <v>-14.3</v>
      </c>
      <c r="AB462" s="30">
        <v>-7.4</v>
      </c>
      <c r="AC462" s="30">
        <v>3.9</v>
      </c>
      <c r="AD462" s="30">
        <v>11.9</v>
      </c>
      <c r="AE462" s="30">
        <v>16.8</v>
      </c>
      <c r="AF462" s="30">
        <v>18.399999999999999</v>
      </c>
      <c r="AG462" s="30">
        <v>16.2</v>
      </c>
      <c r="AH462" s="30">
        <v>10.7</v>
      </c>
      <c r="AI462" s="30">
        <v>2.4</v>
      </c>
      <c r="AJ462" s="30">
        <v>-6.2</v>
      </c>
      <c r="AK462" s="30">
        <v>-12.9</v>
      </c>
      <c r="AL462" s="30">
        <v>2</v>
      </c>
    </row>
    <row r="463" spans="1:38" ht="25.5" x14ac:dyDescent="0.25">
      <c r="A463" s="33" t="s">
        <v>247</v>
      </c>
      <c r="B463" s="70"/>
      <c r="C463" s="70"/>
      <c r="D463" s="70"/>
      <c r="E463" s="70"/>
      <c r="F463" s="70"/>
      <c r="G463" s="70"/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/>
      <c r="S463" s="70"/>
      <c r="T463" s="70"/>
      <c r="U463" s="34"/>
      <c r="Y463" s="33" t="s">
        <v>247</v>
      </c>
      <c r="Z463" s="70"/>
      <c r="AA463" s="70"/>
      <c r="AB463" s="70"/>
      <c r="AC463" s="70"/>
      <c r="AD463" s="70"/>
      <c r="AE463" s="70"/>
      <c r="AF463" s="70"/>
      <c r="AG463" s="70"/>
      <c r="AH463" s="70"/>
      <c r="AI463" s="70"/>
      <c r="AJ463" s="70"/>
      <c r="AK463" s="70"/>
      <c r="AL463" s="70"/>
    </row>
    <row r="464" spans="1:38" x14ac:dyDescent="0.25">
      <c r="A464" s="31" t="s">
        <v>931</v>
      </c>
      <c r="B464" s="30">
        <v>-23</v>
      </c>
      <c r="C464" s="30">
        <v>-22</v>
      </c>
      <c r="D464" s="30">
        <v>-20</v>
      </c>
      <c r="E464" s="30">
        <v>-17</v>
      </c>
      <c r="F464" s="30">
        <v>-7</v>
      </c>
      <c r="G464" s="30">
        <v>-32</v>
      </c>
      <c r="H464" s="30">
        <v>7</v>
      </c>
      <c r="I464" s="30">
        <v>83</v>
      </c>
      <c r="J464" s="30">
        <v>-1.8</v>
      </c>
      <c r="K464" s="30">
        <v>159</v>
      </c>
      <c r="L464" s="30">
        <v>0.9</v>
      </c>
      <c r="M464" s="30">
        <v>176</v>
      </c>
      <c r="N464" s="30">
        <v>1.7</v>
      </c>
      <c r="O464" s="30">
        <v>87</v>
      </c>
      <c r="P464" s="30">
        <v>80</v>
      </c>
      <c r="Q464" s="30">
        <v>127</v>
      </c>
      <c r="R464" s="30" t="s">
        <v>142</v>
      </c>
      <c r="S464" s="30">
        <v>3.8</v>
      </c>
      <c r="T464" s="30">
        <v>2.5</v>
      </c>
      <c r="U464" s="32">
        <v>0</v>
      </c>
      <c r="V464" s="29" t="s">
        <v>246</v>
      </c>
      <c r="Y464" s="31" t="s">
        <v>245</v>
      </c>
      <c r="Z464" s="30">
        <v>-2.2000000000000002</v>
      </c>
      <c r="AA464" s="30">
        <v>-1.9</v>
      </c>
      <c r="AB464" s="30">
        <v>3.5</v>
      </c>
      <c r="AC464" s="30">
        <v>10.9</v>
      </c>
      <c r="AD464" s="30">
        <v>16.5</v>
      </c>
      <c r="AE464" s="30">
        <v>21</v>
      </c>
      <c r="AF464" s="30">
        <v>24</v>
      </c>
      <c r="AG464" s="30">
        <v>22.9</v>
      </c>
      <c r="AH464" s="30">
        <v>18</v>
      </c>
      <c r="AI464" s="30">
        <v>10.8</v>
      </c>
      <c r="AJ464" s="30">
        <v>4.7</v>
      </c>
      <c r="AK464" s="30">
        <v>-0.3</v>
      </c>
      <c r="AL464" s="30">
        <v>10.7</v>
      </c>
    </row>
    <row r="465" spans="1:38" x14ac:dyDescent="0.25">
      <c r="A465" s="33" t="s">
        <v>244</v>
      </c>
      <c r="B465" s="70"/>
      <c r="C465" s="70"/>
      <c r="D465" s="70"/>
      <c r="E465" s="70"/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  <c r="S465" s="70"/>
      <c r="T465" s="70"/>
      <c r="U465" s="32"/>
      <c r="Y465" s="33" t="s">
        <v>244</v>
      </c>
      <c r="Z465" s="70"/>
      <c r="AA465" s="70"/>
      <c r="AB465" s="70"/>
      <c r="AC465" s="70"/>
      <c r="AD465" s="70"/>
      <c r="AE465" s="70"/>
      <c r="AF465" s="70"/>
      <c r="AG465" s="70"/>
      <c r="AH465" s="70"/>
      <c r="AI465" s="70"/>
      <c r="AJ465" s="70"/>
      <c r="AK465" s="70"/>
      <c r="AL465" s="70"/>
    </row>
    <row r="466" spans="1:38" x14ac:dyDescent="0.25">
      <c r="A466" s="31" t="s">
        <v>243</v>
      </c>
      <c r="B466" s="30">
        <v>-42</v>
      </c>
      <c r="C466" s="30">
        <v>-38</v>
      </c>
      <c r="D466" s="30">
        <v>-40</v>
      </c>
      <c r="E466" s="30">
        <v>-36</v>
      </c>
      <c r="F466" s="30">
        <v>-28</v>
      </c>
      <c r="G466" s="30">
        <v>-48</v>
      </c>
      <c r="H466" s="30">
        <v>13.9</v>
      </c>
      <c r="I466" s="30">
        <v>182</v>
      </c>
      <c r="J466" s="30">
        <v>-14.8</v>
      </c>
      <c r="K466" s="30">
        <v>238</v>
      </c>
      <c r="L466" s="30">
        <v>-10.4</v>
      </c>
      <c r="M466" s="30">
        <v>255</v>
      </c>
      <c r="N466" s="30">
        <v>-9.1</v>
      </c>
      <c r="O466" s="30">
        <v>72</v>
      </c>
      <c r="P466" s="30">
        <v>67</v>
      </c>
      <c r="Q466" s="30">
        <v>19</v>
      </c>
      <c r="R466" s="30" t="s">
        <v>142</v>
      </c>
      <c r="S466" s="30" t="s">
        <v>41</v>
      </c>
      <c r="T466" s="30">
        <v>2.9</v>
      </c>
      <c r="U466" s="32">
        <v>3</v>
      </c>
      <c r="Y466" s="31" t="s">
        <v>243</v>
      </c>
      <c r="Z466" s="30">
        <v>-23.3</v>
      </c>
      <c r="AA466" s="30">
        <v>-20.399999999999999</v>
      </c>
      <c r="AB466" s="30">
        <v>-11.5</v>
      </c>
      <c r="AC466" s="30">
        <v>0.4</v>
      </c>
      <c r="AD466" s="30">
        <v>8.8000000000000007</v>
      </c>
      <c r="AE466" s="30">
        <v>15.6</v>
      </c>
      <c r="AF466" s="30">
        <v>18.399999999999999</v>
      </c>
      <c r="AG466" s="30">
        <v>15.5</v>
      </c>
      <c r="AH466" s="30">
        <v>8.4</v>
      </c>
      <c r="AI466" s="30">
        <v>-0.6</v>
      </c>
      <c r="AJ466" s="30">
        <v>-13</v>
      </c>
      <c r="AK466" s="30">
        <v>-21.3</v>
      </c>
      <c r="AL466" s="30">
        <v>-1.9</v>
      </c>
    </row>
    <row r="467" spans="1:38" x14ac:dyDescent="0.25">
      <c r="A467" s="31" t="s">
        <v>242</v>
      </c>
      <c r="B467" s="30">
        <v>-41</v>
      </c>
      <c r="C467" s="30">
        <v>-38</v>
      </c>
      <c r="D467" s="30">
        <v>-36</v>
      </c>
      <c r="E467" s="30">
        <v>-34</v>
      </c>
      <c r="F467" s="30">
        <v>-28</v>
      </c>
      <c r="G467" s="30">
        <v>-47</v>
      </c>
      <c r="H467" s="30">
        <v>14.7</v>
      </c>
      <c r="I467" s="30">
        <v>179</v>
      </c>
      <c r="J467" s="30">
        <v>-14</v>
      </c>
      <c r="K467" s="30">
        <v>237</v>
      </c>
      <c r="L467" s="30">
        <v>-9.6</v>
      </c>
      <c r="M467" s="30">
        <v>254</v>
      </c>
      <c r="N467" s="30">
        <v>-8.3000000000000007</v>
      </c>
      <c r="O467" s="30">
        <v>73</v>
      </c>
      <c r="P467" s="30">
        <v>65</v>
      </c>
      <c r="Q467" s="30">
        <v>21</v>
      </c>
      <c r="R467" s="30" t="s">
        <v>140</v>
      </c>
      <c r="S467" s="30">
        <v>5.2</v>
      </c>
      <c r="T467" s="30">
        <v>2.2000000000000002</v>
      </c>
      <c r="U467" s="32">
        <v>3</v>
      </c>
      <c r="Y467" s="31" t="s">
        <v>242</v>
      </c>
      <c r="Z467" s="30">
        <v>-22.6</v>
      </c>
      <c r="AA467" s="30">
        <v>-19.100000000000001</v>
      </c>
      <c r="AB467" s="30">
        <v>-9.4</v>
      </c>
      <c r="AC467" s="30">
        <v>1</v>
      </c>
      <c r="AD467" s="30">
        <v>9</v>
      </c>
      <c r="AE467" s="30">
        <v>15.4</v>
      </c>
      <c r="AF467" s="30">
        <v>18.100000000000001</v>
      </c>
      <c r="AG467" s="30">
        <v>15.5</v>
      </c>
      <c r="AH467" s="30">
        <v>8.4</v>
      </c>
      <c r="AI467" s="30">
        <v>-0.1</v>
      </c>
      <c r="AJ467" s="30">
        <v>-12.1</v>
      </c>
      <c r="AK467" s="30">
        <v>-20.3</v>
      </c>
      <c r="AL467" s="30">
        <v>-1.4</v>
      </c>
    </row>
    <row r="468" spans="1:38" ht="25.5" x14ac:dyDescent="0.25">
      <c r="A468" s="31" t="s">
        <v>241</v>
      </c>
      <c r="B468" s="30">
        <v>-43</v>
      </c>
      <c r="C468" s="30">
        <v>-41</v>
      </c>
      <c r="D468" s="30">
        <v>-40</v>
      </c>
      <c r="E468" s="30">
        <v>-38</v>
      </c>
      <c r="F468" s="30">
        <v>-32</v>
      </c>
      <c r="G468" s="30">
        <v>-48</v>
      </c>
      <c r="H468" s="30">
        <v>12.1</v>
      </c>
      <c r="I468" s="30">
        <v>194</v>
      </c>
      <c r="J468" s="30">
        <v>-16.600000000000001</v>
      </c>
      <c r="K468" s="30">
        <v>250</v>
      </c>
      <c r="L468" s="30">
        <v>-12</v>
      </c>
      <c r="M468" s="30">
        <v>267</v>
      </c>
      <c r="N468" s="30">
        <v>-10.6</v>
      </c>
      <c r="O468" s="30">
        <v>80</v>
      </c>
      <c r="P468" s="30">
        <v>75</v>
      </c>
      <c r="Q468" s="30">
        <v>38</v>
      </c>
      <c r="R468" s="30" t="s">
        <v>155</v>
      </c>
      <c r="S468" s="30" t="s">
        <v>41</v>
      </c>
      <c r="T468" s="30" t="s">
        <v>41</v>
      </c>
      <c r="U468" s="32">
        <v>3</v>
      </c>
      <c r="Y468" s="31" t="s">
        <v>241</v>
      </c>
      <c r="Z468" s="30">
        <v>-26.8</v>
      </c>
      <c r="AA468" s="30">
        <v>-23.5</v>
      </c>
      <c r="AB468" s="30">
        <v>-13.9</v>
      </c>
      <c r="AC468" s="30">
        <v>-1.4</v>
      </c>
      <c r="AD468" s="30">
        <v>7.4</v>
      </c>
      <c r="AE468" s="30">
        <v>14.1</v>
      </c>
      <c r="AF468" s="30">
        <v>16.7</v>
      </c>
      <c r="AG468" s="30">
        <v>14.1</v>
      </c>
      <c r="AH468" s="30">
        <v>7</v>
      </c>
      <c r="AI468" s="30">
        <v>-2.4</v>
      </c>
      <c r="AJ468" s="30">
        <v>-15.5</v>
      </c>
      <c r="AK468" s="30">
        <v>-24.6</v>
      </c>
      <c r="AL468" s="30">
        <v>-4.0999999999999996</v>
      </c>
    </row>
    <row r="469" spans="1:38" x14ac:dyDescent="0.25">
      <c r="A469" s="31" t="s">
        <v>932</v>
      </c>
      <c r="B469" s="30">
        <v>-43</v>
      </c>
      <c r="C469" s="30">
        <v>-41</v>
      </c>
      <c r="D469" s="30">
        <v>-41</v>
      </c>
      <c r="E469" s="30">
        <v>-38</v>
      </c>
      <c r="F469" s="30">
        <v>-30</v>
      </c>
      <c r="G469" s="30">
        <v>-50</v>
      </c>
      <c r="H469" s="30">
        <v>14.3</v>
      </c>
      <c r="I469" s="30">
        <v>180</v>
      </c>
      <c r="J469" s="30">
        <v>-17.100000000000001</v>
      </c>
      <c r="K469" s="30">
        <v>232</v>
      </c>
      <c r="L469" s="30">
        <v>-12.4</v>
      </c>
      <c r="M469" s="30">
        <v>247</v>
      </c>
      <c r="N469" s="30">
        <v>-11.1</v>
      </c>
      <c r="O469" s="30">
        <v>78</v>
      </c>
      <c r="P469" s="30">
        <v>74</v>
      </c>
      <c r="Q469" s="30">
        <v>16</v>
      </c>
      <c r="R469" s="30" t="s">
        <v>138</v>
      </c>
      <c r="S469" s="30">
        <v>1.9</v>
      </c>
      <c r="T469" s="30">
        <v>2.8</v>
      </c>
      <c r="U469" s="32">
        <v>3</v>
      </c>
      <c r="Y469" s="31" t="s">
        <v>240</v>
      </c>
      <c r="Z469" s="30">
        <v>-26.4</v>
      </c>
      <c r="AA469" s="30">
        <v>-22</v>
      </c>
      <c r="AB469" s="30">
        <v>-10.9</v>
      </c>
      <c r="AC469" s="30">
        <v>1.3</v>
      </c>
      <c r="AD469" s="30">
        <v>9.9</v>
      </c>
      <c r="AE469" s="30">
        <v>16.8</v>
      </c>
      <c r="AF469" s="30">
        <v>19.2</v>
      </c>
      <c r="AG469" s="30">
        <v>16.7</v>
      </c>
      <c r="AH469" s="30">
        <v>9.3000000000000007</v>
      </c>
      <c r="AI469" s="30">
        <v>-0.4</v>
      </c>
      <c r="AJ469" s="30">
        <v>-13.5</v>
      </c>
      <c r="AK469" s="30">
        <v>-23.4</v>
      </c>
      <c r="AL469" s="30">
        <v>-2</v>
      </c>
    </row>
    <row r="470" spans="1:38" x14ac:dyDescent="0.25">
      <c r="A470" s="31" t="s">
        <v>239</v>
      </c>
      <c r="B470" s="30">
        <v>-40</v>
      </c>
      <c r="C470" s="30">
        <v>-37</v>
      </c>
      <c r="D470" s="30">
        <v>-38</v>
      </c>
      <c r="E470" s="30">
        <v>-34</v>
      </c>
      <c r="F470" s="30">
        <v>-27</v>
      </c>
      <c r="G470" s="30">
        <v>-48</v>
      </c>
      <c r="H470" s="30">
        <v>13.9</v>
      </c>
      <c r="I470" s="30">
        <v>188</v>
      </c>
      <c r="J470" s="30">
        <v>-13.7</v>
      </c>
      <c r="K470" s="30">
        <v>247</v>
      </c>
      <c r="L470" s="30">
        <v>-9.5</v>
      </c>
      <c r="M470" s="30">
        <v>265</v>
      </c>
      <c r="N470" s="30">
        <v>-8.1999999999999993</v>
      </c>
      <c r="O470" s="30">
        <v>72</v>
      </c>
      <c r="P470" s="30">
        <v>64</v>
      </c>
      <c r="Q470" s="30">
        <v>28</v>
      </c>
      <c r="R470" s="30" t="s">
        <v>140</v>
      </c>
      <c r="S470" s="30" t="s">
        <v>41</v>
      </c>
      <c r="T470" s="30">
        <v>2</v>
      </c>
      <c r="U470" s="32">
        <v>3</v>
      </c>
      <c r="Y470" s="31" t="s">
        <v>239</v>
      </c>
      <c r="Z470" s="30">
        <v>-22</v>
      </c>
      <c r="AA470" s="30">
        <v>-19.600000000000001</v>
      </c>
      <c r="AB470" s="30">
        <v>-10.4</v>
      </c>
      <c r="AC470" s="30">
        <v>-0.4</v>
      </c>
      <c r="AD470" s="30">
        <v>8</v>
      </c>
      <c r="AE470" s="30">
        <v>14.4</v>
      </c>
      <c r="AF470" s="30">
        <v>16.899999999999999</v>
      </c>
      <c r="AG470" s="30">
        <v>14.2</v>
      </c>
      <c r="AH470" s="30">
        <v>7</v>
      </c>
      <c r="AI470" s="30">
        <v>-1.4</v>
      </c>
      <c r="AJ470" s="30">
        <v>-12.6</v>
      </c>
      <c r="AK470" s="30">
        <v>-19.899999999999999</v>
      </c>
      <c r="AL470" s="30">
        <v>-2.2000000000000002</v>
      </c>
    </row>
    <row r="471" spans="1:38" x14ac:dyDescent="0.25">
      <c r="A471" s="31" t="s">
        <v>933</v>
      </c>
      <c r="B471" s="30">
        <v>-49</v>
      </c>
      <c r="C471" s="30">
        <v>-48</v>
      </c>
      <c r="D471" s="30">
        <v>-46</v>
      </c>
      <c r="E471" s="30">
        <v>-45</v>
      </c>
      <c r="F471" s="30">
        <v>-38</v>
      </c>
      <c r="G471" s="30">
        <v>-56</v>
      </c>
      <c r="H471" s="30">
        <v>15.1</v>
      </c>
      <c r="I471" s="30">
        <v>203</v>
      </c>
      <c r="J471" s="30">
        <v>-21.7</v>
      </c>
      <c r="K471" s="30">
        <v>257</v>
      </c>
      <c r="L471" s="30">
        <v>-16.3</v>
      </c>
      <c r="M471" s="30">
        <v>271</v>
      </c>
      <c r="N471" s="30">
        <v>-15</v>
      </c>
      <c r="O471" s="30">
        <v>76</v>
      </c>
      <c r="P471" s="30">
        <v>68</v>
      </c>
      <c r="Q471" s="30">
        <v>27</v>
      </c>
      <c r="R471" s="30" t="s">
        <v>142</v>
      </c>
      <c r="S471" s="30">
        <v>2.4</v>
      </c>
      <c r="T471" s="30">
        <v>0.7</v>
      </c>
      <c r="U471" s="32">
        <v>3</v>
      </c>
      <c r="Y471" s="31" t="s">
        <v>238</v>
      </c>
      <c r="Z471" s="30">
        <v>-34.299999999999997</v>
      </c>
      <c r="AA471" s="30">
        <v>-27.6</v>
      </c>
      <c r="AB471" s="30">
        <v>-16.2</v>
      </c>
      <c r="AC471" s="30">
        <v>-2.7</v>
      </c>
      <c r="AD471" s="30">
        <v>6.6</v>
      </c>
      <c r="AE471" s="30">
        <v>13.9</v>
      </c>
      <c r="AF471" s="30">
        <v>16.600000000000001</v>
      </c>
      <c r="AG471" s="30">
        <v>13.4</v>
      </c>
      <c r="AH471" s="30">
        <v>5.7</v>
      </c>
      <c r="AI471" s="30">
        <v>-5.8</v>
      </c>
      <c r="AJ471" s="30">
        <v>-21.7</v>
      </c>
      <c r="AK471" s="30">
        <v>-32.5</v>
      </c>
      <c r="AL471" s="30">
        <v>-7.1</v>
      </c>
    </row>
    <row r="472" spans="1:38" x14ac:dyDescent="0.25">
      <c r="A472" s="31" t="s">
        <v>934</v>
      </c>
      <c r="B472" s="30">
        <v>-42</v>
      </c>
      <c r="C472" s="30">
        <v>-41</v>
      </c>
      <c r="D472" s="30">
        <v>-37</v>
      </c>
      <c r="E472" s="30">
        <v>-37</v>
      </c>
      <c r="F472" s="30">
        <v>-29</v>
      </c>
      <c r="G472" s="30">
        <v>-48</v>
      </c>
      <c r="H472" s="30">
        <v>12.7</v>
      </c>
      <c r="I472" s="30">
        <v>181</v>
      </c>
      <c r="J472" s="30">
        <v>-16.2</v>
      </c>
      <c r="K472" s="30">
        <v>240</v>
      </c>
      <c r="L472" s="30">
        <v>-11.2</v>
      </c>
      <c r="M472" s="30">
        <v>256</v>
      </c>
      <c r="N472" s="30">
        <v>-9.9</v>
      </c>
      <c r="O472" s="30">
        <v>79</v>
      </c>
      <c r="P472" s="30">
        <v>73</v>
      </c>
      <c r="Q472" s="30">
        <v>24</v>
      </c>
      <c r="R472" s="30" t="s">
        <v>142</v>
      </c>
      <c r="S472" s="30">
        <v>2.4</v>
      </c>
      <c r="T472" s="30">
        <v>1.1000000000000001</v>
      </c>
      <c r="U472" s="32">
        <v>3</v>
      </c>
      <c r="Y472" s="31" t="s">
        <v>237</v>
      </c>
      <c r="Z472" s="30">
        <v>-26</v>
      </c>
      <c r="AA472" s="30">
        <v>-20.7</v>
      </c>
      <c r="AB472" s="30">
        <v>-9.6999999999999993</v>
      </c>
      <c r="AC472" s="30">
        <v>1.2</v>
      </c>
      <c r="AD472" s="30">
        <v>9.1</v>
      </c>
      <c r="AE472" s="30">
        <v>15.2</v>
      </c>
      <c r="AF472" s="30">
        <v>17.5</v>
      </c>
      <c r="AG472" s="30">
        <v>14.8</v>
      </c>
      <c r="AH472" s="30">
        <v>7.8</v>
      </c>
      <c r="AI472" s="30">
        <v>-0.9</v>
      </c>
      <c r="AJ472" s="30">
        <v>-12.6</v>
      </c>
      <c r="AK472" s="30">
        <v>-22.1</v>
      </c>
      <c r="AL472" s="30">
        <v>-2.2000000000000002</v>
      </c>
    </row>
    <row r="473" spans="1:38" x14ac:dyDescent="0.25">
      <c r="A473" s="31" t="s">
        <v>935</v>
      </c>
      <c r="B473" s="30">
        <v>-46</v>
      </c>
      <c r="C473" s="30">
        <v>-42</v>
      </c>
      <c r="D473" s="30">
        <v>-43</v>
      </c>
      <c r="E473" s="30">
        <v>-39</v>
      </c>
      <c r="F473" s="30">
        <v>-33</v>
      </c>
      <c r="G473" s="30">
        <v>-53</v>
      </c>
      <c r="H473" s="30">
        <v>15.1</v>
      </c>
      <c r="I473" s="30">
        <v>195</v>
      </c>
      <c r="J473" s="30">
        <v>-18.899999999999999</v>
      </c>
      <c r="K473" s="30">
        <v>250</v>
      </c>
      <c r="L473" s="30">
        <v>-13.8</v>
      </c>
      <c r="M473" s="30">
        <v>266</v>
      </c>
      <c r="N473" s="30">
        <v>-12.4</v>
      </c>
      <c r="O473" s="30">
        <v>77</v>
      </c>
      <c r="P473" s="30">
        <v>70</v>
      </c>
      <c r="Q473" s="30">
        <v>29</v>
      </c>
      <c r="R473" s="30" t="s">
        <v>140</v>
      </c>
      <c r="S473" s="30">
        <v>3.6</v>
      </c>
      <c r="T473" s="30">
        <v>1.5</v>
      </c>
      <c r="U473" s="32">
        <v>3</v>
      </c>
      <c r="Y473" s="31" t="s">
        <v>236</v>
      </c>
      <c r="Z473" s="30">
        <v>-28.5</v>
      </c>
      <c r="AA473" s="30">
        <v>-23.5</v>
      </c>
      <c r="AB473" s="30">
        <v>-13.4</v>
      </c>
      <c r="AC473" s="30">
        <v>-1.2</v>
      </c>
      <c r="AD473" s="30">
        <v>7.5</v>
      </c>
      <c r="AE473" s="30">
        <v>14.2</v>
      </c>
      <c r="AF473" s="30">
        <v>16.899999999999999</v>
      </c>
      <c r="AG473" s="30">
        <v>14</v>
      </c>
      <c r="AH473" s="30">
        <v>6.6</v>
      </c>
      <c r="AI473" s="30">
        <v>-4</v>
      </c>
      <c r="AJ473" s="30">
        <v>-18.7</v>
      </c>
      <c r="AK473" s="30">
        <v>-27.6</v>
      </c>
      <c r="AL473" s="30">
        <v>-4.8</v>
      </c>
    </row>
    <row r="474" spans="1:38" x14ac:dyDescent="0.25">
      <c r="A474" s="31" t="s">
        <v>235</v>
      </c>
      <c r="B474" s="30">
        <v>-48</v>
      </c>
      <c r="C474" s="30">
        <v>-46</v>
      </c>
      <c r="D474" s="30">
        <v>-47</v>
      </c>
      <c r="E474" s="30">
        <v>-44</v>
      </c>
      <c r="F474" s="30">
        <v>-36</v>
      </c>
      <c r="G474" s="30">
        <v>-54</v>
      </c>
      <c r="H474" s="30">
        <v>13.3</v>
      </c>
      <c r="I474" s="30">
        <v>183</v>
      </c>
      <c r="J474" s="30">
        <v>-19.100000000000001</v>
      </c>
      <c r="K474" s="30">
        <v>233</v>
      </c>
      <c r="L474" s="30">
        <v>-14.1</v>
      </c>
      <c r="M474" s="30">
        <v>247</v>
      </c>
      <c r="N474" s="30">
        <v>-12.8</v>
      </c>
      <c r="O474" s="30">
        <v>77</v>
      </c>
      <c r="P474" s="30">
        <v>73</v>
      </c>
      <c r="Q474" s="30">
        <v>23</v>
      </c>
      <c r="R474" s="30" t="s">
        <v>142</v>
      </c>
      <c r="S474" s="30">
        <v>4.4000000000000004</v>
      </c>
      <c r="T474" s="30">
        <v>2.1</v>
      </c>
      <c r="U474" s="32">
        <v>3</v>
      </c>
      <c r="Y474" s="31" t="s">
        <v>235</v>
      </c>
      <c r="Z474" s="30">
        <v>-30.8</v>
      </c>
      <c r="AA474" s="30">
        <v>-26.3</v>
      </c>
      <c r="AB474" s="30">
        <v>-13.6</v>
      </c>
      <c r="AC474" s="30">
        <v>0.8</v>
      </c>
      <c r="AD474" s="30">
        <v>9.8000000000000007</v>
      </c>
      <c r="AE474" s="30">
        <v>17</v>
      </c>
      <c r="AF474" s="30">
        <v>19.7</v>
      </c>
      <c r="AG474" s="30">
        <v>16.600000000000001</v>
      </c>
      <c r="AH474" s="30">
        <v>9</v>
      </c>
      <c r="AI474" s="30">
        <v>-1</v>
      </c>
      <c r="AJ474" s="30">
        <v>-16.7</v>
      </c>
      <c r="AK474" s="30">
        <v>-28.2</v>
      </c>
      <c r="AL474" s="30">
        <v>-3.6</v>
      </c>
    </row>
    <row r="475" spans="1:38" x14ac:dyDescent="0.25">
      <c r="A475" s="31" t="s">
        <v>936</v>
      </c>
      <c r="B475" s="30">
        <v>-42</v>
      </c>
      <c r="C475" s="30">
        <v>-40</v>
      </c>
      <c r="D475" s="30">
        <v>-41</v>
      </c>
      <c r="E475" s="30">
        <v>-38</v>
      </c>
      <c r="F475" s="30">
        <v>-32</v>
      </c>
      <c r="G475" s="30">
        <v>-53</v>
      </c>
      <c r="H475" s="30">
        <v>9.1</v>
      </c>
      <c r="I475" s="30">
        <v>180</v>
      </c>
      <c r="J475" s="30">
        <v>-17.7</v>
      </c>
      <c r="K475" s="30">
        <v>233</v>
      </c>
      <c r="L475" s="30">
        <v>-12.7</v>
      </c>
      <c r="M475" s="30">
        <v>249</v>
      </c>
      <c r="N475" s="30">
        <v>-11.3</v>
      </c>
      <c r="O475" s="30">
        <v>80</v>
      </c>
      <c r="P475" s="30">
        <v>77</v>
      </c>
      <c r="Q475" s="30">
        <v>28</v>
      </c>
      <c r="R475" s="30" t="s">
        <v>140</v>
      </c>
      <c r="S475" s="30">
        <v>2.2999999999999998</v>
      </c>
      <c r="T475" s="30">
        <v>1</v>
      </c>
      <c r="U475" s="32">
        <v>3</v>
      </c>
      <c r="Y475" s="31" t="s">
        <v>234</v>
      </c>
      <c r="Z475" s="30">
        <v>-26.9</v>
      </c>
      <c r="AA475" s="30">
        <v>-22</v>
      </c>
      <c r="AB475" s="30">
        <v>-11</v>
      </c>
      <c r="AC475" s="30">
        <v>1.3</v>
      </c>
      <c r="AD475" s="30">
        <v>9.8000000000000007</v>
      </c>
      <c r="AE475" s="30">
        <v>16</v>
      </c>
      <c r="AF475" s="30">
        <v>18.399999999999999</v>
      </c>
      <c r="AG475" s="30">
        <v>15.8</v>
      </c>
      <c r="AH475" s="30">
        <v>8.8000000000000007</v>
      </c>
      <c r="AI475" s="30">
        <v>-0.6</v>
      </c>
      <c r="AJ475" s="30">
        <v>-14.7</v>
      </c>
      <c r="AK475" s="30">
        <v>-24.7</v>
      </c>
      <c r="AL475" s="30">
        <v>-2.5</v>
      </c>
    </row>
    <row r="476" spans="1:38" x14ac:dyDescent="0.25">
      <c r="A476" s="31" t="s">
        <v>233</v>
      </c>
      <c r="B476" s="30">
        <v>-52</v>
      </c>
      <c r="C476" s="30">
        <v>-50</v>
      </c>
      <c r="D476" s="30">
        <v>-48</v>
      </c>
      <c r="E476" s="30">
        <v>-46</v>
      </c>
      <c r="F476" s="30">
        <v>-41</v>
      </c>
      <c r="G476" s="30">
        <v>-56</v>
      </c>
      <c r="H476" s="30">
        <v>17.2</v>
      </c>
      <c r="I476" s="30">
        <v>218</v>
      </c>
      <c r="J476" s="30">
        <v>-21.5</v>
      </c>
      <c r="K476" s="30">
        <v>271</v>
      </c>
      <c r="L476" s="30">
        <v>-16.399999999999999</v>
      </c>
      <c r="M476" s="30">
        <v>287</v>
      </c>
      <c r="N476" s="30">
        <v>-15</v>
      </c>
      <c r="O476" s="30">
        <v>78</v>
      </c>
      <c r="P476" s="30">
        <v>73</v>
      </c>
      <c r="Q476" s="30">
        <v>20</v>
      </c>
      <c r="R476" s="30" t="s">
        <v>138</v>
      </c>
      <c r="S476" s="30" t="s">
        <v>41</v>
      </c>
      <c r="T476" s="30">
        <v>0.9</v>
      </c>
      <c r="U476" s="32">
        <v>3</v>
      </c>
      <c r="Y476" s="31" t="s">
        <v>233</v>
      </c>
      <c r="Z476" s="30">
        <v>-36.299999999999997</v>
      </c>
      <c r="AA476" s="30">
        <v>-30.7</v>
      </c>
      <c r="AB476" s="30">
        <v>-19.100000000000001</v>
      </c>
      <c r="AC476" s="30">
        <v>-5.7</v>
      </c>
      <c r="AD476" s="30">
        <v>4.5</v>
      </c>
      <c r="AE476" s="30">
        <v>12.1</v>
      </c>
      <c r="AF476" s="30">
        <v>15.1</v>
      </c>
      <c r="AG476" s="30">
        <v>12.1</v>
      </c>
      <c r="AH476" s="30">
        <v>4.5</v>
      </c>
      <c r="AI476" s="30">
        <v>-7.5</v>
      </c>
      <c r="AJ476" s="30">
        <v>-23.7</v>
      </c>
      <c r="AK476" s="30">
        <v>-34.4</v>
      </c>
      <c r="AL476" s="30">
        <v>-9.1</v>
      </c>
    </row>
    <row r="477" spans="1:38" x14ac:dyDescent="0.25">
      <c r="A477" s="31" t="s">
        <v>232</v>
      </c>
      <c r="B477" s="30">
        <v>-48</v>
      </c>
      <c r="C477" s="30">
        <v>-46</v>
      </c>
      <c r="D477" s="30">
        <v>-47</v>
      </c>
      <c r="E477" s="30">
        <v>-45</v>
      </c>
      <c r="F477" s="30">
        <v>-36</v>
      </c>
      <c r="G477" s="30">
        <v>-54</v>
      </c>
      <c r="H477" s="30">
        <v>18.7</v>
      </c>
      <c r="I477" s="30">
        <v>205</v>
      </c>
      <c r="J477" s="30">
        <v>-18.7</v>
      </c>
      <c r="K477" s="30">
        <v>262</v>
      </c>
      <c r="L477" s="30">
        <v>-13.8</v>
      </c>
      <c r="M477" s="30">
        <v>278</v>
      </c>
      <c r="N477" s="30">
        <v>-12.4</v>
      </c>
      <c r="O477" s="30">
        <v>76</v>
      </c>
      <c r="P477" s="30">
        <v>68</v>
      </c>
      <c r="Q477" s="30">
        <v>27</v>
      </c>
      <c r="R477" s="30" t="s">
        <v>155</v>
      </c>
      <c r="S477" s="30" t="s">
        <v>41</v>
      </c>
      <c r="T477" s="30">
        <v>1.5</v>
      </c>
      <c r="U477" s="32">
        <v>3</v>
      </c>
      <c r="Y477" s="31" t="s">
        <v>232</v>
      </c>
      <c r="Z477" s="30">
        <v>-31</v>
      </c>
      <c r="AA477" s="30">
        <v>-26.5</v>
      </c>
      <c r="AB477" s="30">
        <v>-16</v>
      </c>
      <c r="AC477" s="30">
        <v>-3</v>
      </c>
      <c r="AD477" s="30">
        <v>6</v>
      </c>
      <c r="AE477" s="30">
        <v>13.1</v>
      </c>
      <c r="AF477" s="30">
        <v>15.8</v>
      </c>
      <c r="AG477" s="30">
        <v>12.8</v>
      </c>
      <c r="AH477" s="30">
        <v>5.5</v>
      </c>
      <c r="AI477" s="30">
        <v>-4.5</v>
      </c>
      <c r="AJ477" s="30">
        <v>-19.2</v>
      </c>
      <c r="AK477" s="30">
        <v>-29.3</v>
      </c>
      <c r="AL477" s="30">
        <v>-6.4</v>
      </c>
    </row>
    <row r="478" spans="1:38" x14ac:dyDescent="0.25">
      <c r="A478" s="31" t="s">
        <v>231</v>
      </c>
      <c r="B478" s="30">
        <v>-50</v>
      </c>
      <c r="C478" s="30">
        <v>-46</v>
      </c>
      <c r="D478" s="30">
        <v>-46</v>
      </c>
      <c r="E478" s="30">
        <v>-44</v>
      </c>
      <c r="F478" s="30">
        <v>-38</v>
      </c>
      <c r="G478" s="30">
        <v>-56</v>
      </c>
      <c r="H478" s="30">
        <v>15.4</v>
      </c>
      <c r="I478" s="30">
        <v>207</v>
      </c>
      <c r="J478" s="30">
        <v>-19.7</v>
      </c>
      <c r="K478" s="30">
        <v>260</v>
      </c>
      <c r="L478" s="30">
        <v>-14.8</v>
      </c>
      <c r="M478" s="30">
        <v>276</v>
      </c>
      <c r="N478" s="30">
        <v>-13.4</v>
      </c>
      <c r="O478" s="30">
        <v>76</v>
      </c>
      <c r="P478" s="30">
        <v>70</v>
      </c>
      <c r="Q478" s="30">
        <v>45</v>
      </c>
      <c r="R478" s="30" t="s">
        <v>150</v>
      </c>
      <c r="S478" s="30" t="s">
        <v>41</v>
      </c>
      <c r="T478" s="30">
        <v>1.5</v>
      </c>
      <c r="U478" s="32">
        <v>3</v>
      </c>
      <c r="Y478" s="31" t="s">
        <v>231</v>
      </c>
      <c r="Z478" s="30">
        <v>-32.700000000000003</v>
      </c>
      <c r="AA478" s="30">
        <v>-27.8</v>
      </c>
      <c r="AB478" s="30">
        <v>-16.8</v>
      </c>
      <c r="AC478" s="30">
        <v>-3.6</v>
      </c>
      <c r="AD478" s="30">
        <v>6</v>
      </c>
      <c r="AE478" s="30">
        <v>13.4</v>
      </c>
      <c r="AF478" s="30">
        <v>16.3</v>
      </c>
      <c r="AG478" s="30">
        <v>13.1</v>
      </c>
      <c r="AH478" s="30">
        <v>5.9</v>
      </c>
      <c r="AI478" s="30">
        <v>-5.0999999999999996</v>
      </c>
      <c r="AJ478" s="30">
        <v>-20.5</v>
      </c>
      <c r="AK478" s="30">
        <v>-30.8</v>
      </c>
      <c r="AL478" s="30">
        <v>-6.9</v>
      </c>
    </row>
    <row r="479" spans="1:38" x14ac:dyDescent="0.25">
      <c r="A479" s="31" t="s">
        <v>937</v>
      </c>
      <c r="B479" s="30">
        <v>-49</v>
      </c>
      <c r="C479" s="30">
        <v>-47</v>
      </c>
      <c r="D479" s="30">
        <v>-47</v>
      </c>
      <c r="E479" s="30">
        <v>-45</v>
      </c>
      <c r="F479" s="30">
        <v>-37</v>
      </c>
      <c r="G479" s="30">
        <v>-56</v>
      </c>
      <c r="H479" s="30">
        <v>12.8</v>
      </c>
      <c r="I479" s="30">
        <v>210</v>
      </c>
      <c r="J479" s="30">
        <v>-20.8</v>
      </c>
      <c r="K479" s="30">
        <v>263</v>
      </c>
      <c r="L479" s="30">
        <v>-15.8</v>
      </c>
      <c r="M479" s="30">
        <v>276</v>
      </c>
      <c r="N479" s="30">
        <v>-14.6</v>
      </c>
      <c r="O479" s="30">
        <v>78</v>
      </c>
      <c r="P479" s="30">
        <v>76</v>
      </c>
      <c r="Q479" s="30">
        <v>19</v>
      </c>
      <c r="R479" s="30" t="s">
        <v>155</v>
      </c>
      <c r="S479" s="30">
        <v>1.6</v>
      </c>
      <c r="T479" s="30">
        <v>1.4</v>
      </c>
      <c r="U479" s="32">
        <v>3</v>
      </c>
      <c r="Y479" s="31" t="s">
        <v>230</v>
      </c>
      <c r="Z479" s="30">
        <v>-32.799999999999997</v>
      </c>
      <c r="AA479" s="30">
        <v>-28.3</v>
      </c>
      <c r="AB479" s="30">
        <v>-17.3</v>
      </c>
      <c r="AC479" s="30">
        <v>-4.0999999999999996</v>
      </c>
      <c r="AD479" s="30">
        <v>5.2</v>
      </c>
      <c r="AE479" s="30">
        <v>13.3</v>
      </c>
      <c r="AF479" s="30">
        <v>16.3</v>
      </c>
      <c r="AG479" s="30">
        <v>13.2</v>
      </c>
      <c r="AH479" s="30">
        <v>5.2</v>
      </c>
      <c r="AI479" s="30">
        <v>-6.1</v>
      </c>
      <c r="AJ479" s="30">
        <v>-20.9</v>
      </c>
      <c r="AK479" s="30">
        <v>-30.7</v>
      </c>
      <c r="AL479" s="30">
        <v>-7.2</v>
      </c>
    </row>
    <row r="480" spans="1:38" x14ac:dyDescent="0.25">
      <c r="A480" s="31" t="s">
        <v>938</v>
      </c>
      <c r="B480" s="30">
        <v>-41</v>
      </c>
      <c r="C480" s="30">
        <v>-39</v>
      </c>
      <c r="D480" s="30">
        <v>-39</v>
      </c>
      <c r="E480" s="30">
        <v>-38</v>
      </c>
      <c r="F480" s="30">
        <v>-29</v>
      </c>
      <c r="G480" s="30">
        <v>-47</v>
      </c>
      <c r="H480" s="30">
        <v>13.9</v>
      </c>
      <c r="I480" s="30">
        <v>182</v>
      </c>
      <c r="J480" s="30">
        <v>-16.100000000000001</v>
      </c>
      <c r="K480" s="30">
        <v>238</v>
      </c>
      <c r="L480" s="30">
        <v>-11.3</v>
      </c>
      <c r="M480" s="30">
        <v>252</v>
      </c>
      <c r="N480" s="30">
        <v>-10.199999999999999</v>
      </c>
      <c r="O480" s="30">
        <v>76</v>
      </c>
      <c r="P480" s="30">
        <v>69</v>
      </c>
      <c r="Q480" s="30">
        <v>17</v>
      </c>
      <c r="R480" s="30" t="s">
        <v>146</v>
      </c>
      <c r="S480" s="30">
        <v>1.6</v>
      </c>
      <c r="T480" s="30">
        <v>2.1</v>
      </c>
      <c r="U480" s="32">
        <v>3</v>
      </c>
      <c r="Y480" s="31" t="s">
        <v>229</v>
      </c>
      <c r="Z480" s="30">
        <v>-25.6</v>
      </c>
      <c r="AA480" s="30">
        <v>-20.2</v>
      </c>
      <c r="AB480" s="30">
        <v>-9.6</v>
      </c>
      <c r="AC480" s="30">
        <v>1</v>
      </c>
      <c r="AD480" s="30">
        <v>9.1999999999999993</v>
      </c>
      <c r="AE480" s="30">
        <v>16.2</v>
      </c>
      <c r="AF480" s="30">
        <v>18.5</v>
      </c>
      <c r="AG480" s="30">
        <v>15.7</v>
      </c>
      <c r="AH480" s="30">
        <v>8.4</v>
      </c>
      <c r="AI480" s="30">
        <v>-0.8</v>
      </c>
      <c r="AJ480" s="30">
        <v>-13.1</v>
      </c>
      <c r="AK480" s="30">
        <v>-22.6</v>
      </c>
      <c r="AL480" s="30">
        <v>-1.9</v>
      </c>
    </row>
    <row r="481" spans="1:38" ht="25.5" x14ac:dyDescent="0.25">
      <c r="A481" s="33" t="s">
        <v>228</v>
      </c>
      <c r="B481" s="70"/>
      <c r="C481" s="70"/>
      <c r="D481" s="70"/>
      <c r="E481" s="70"/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  <c r="S481" s="70"/>
      <c r="T481" s="70"/>
      <c r="U481" s="34"/>
      <c r="Y481" s="33" t="s">
        <v>228</v>
      </c>
      <c r="Z481" s="70"/>
      <c r="AA481" s="70"/>
      <c r="AB481" s="70"/>
      <c r="AC481" s="70"/>
      <c r="AD481" s="70"/>
      <c r="AE481" s="70"/>
      <c r="AF481" s="70"/>
      <c r="AG481" s="70"/>
      <c r="AH481" s="70"/>
      <c r="AI481" s="70"/>
      <c r="AJ481" s="70"/>
      <c r="AK481" s="70"/>
      <c r="AL481" s="70"/>
    </row>
    <row r="482" spans="1:38" x14ac:dyDescent="0.25">
      <c r="A482" s="31" t="s">
        <v>940</v>
      </c>
      <c r="B482" s="30">
        <v>-39</v>
      </c>
      <c r="C482" s="30">
        <v>-33</v>
      </c>
      <c r="D482" s="30">
        <v>-32</v>
      </c>
      <c r="E482" s="30">
        <v>-30</v>
      </c>
      <c r="F482" s="30">
        <v>-15</v>
      </c>
      <c r="G482" s="30">
        <v>-45</v>
      </c>
      <c r="H482" s="30">
        <v>6.9</v>
      </c>
      <c r="I482" s="30">
        <v>150</v>
      </c>
      <c r="J482" s="30">
        <v>-7.8</v>
      </c>
      <c r="K482" s="30">
        <v>207</v>
      </c>
      <c r="L482" s="30">
        <v>-4.5</v>
      </c>
      <c r="M482" s="30">
        <v>223</v>
      </c>
      <c r="N482" s="30">
        <v>-3.5</v>
      </c>
      <c r="O482" s="30">
        <v>84</v>
      </c>
      <c r="P482" s="30">
        <v>84</v>
      </c>
      <c r="Q482" s="30">
        <v>192</v>
      </c>
      <c r="R482" s="30" t="s">
        <v>150</v>
      </c>
      <c r="S482" s="30">
        <v>5.6</v>
      </c>
      <c r="T482" s="30">
        <v>4.8</v>
      </c>
      <c r="U482" s="32">
        <v>0</v>
      </c>
      <c r="Y482" s="31" t="s">
        <v>227</v>
      </c>
      <c r="Z482" s="30">
        <v>-10.8</v>
      </c>
      <c r="AA482" s="30">
        <v>-10.5</v>
      </c>
      <c r="AB482" s="30">
        <v>-4.3</v>
      </c>
      <c r="AC482" s="30">
        <v>5.7</v>
      </c>
      <c r="AD482" s="30">
        <v>13.2</v>
      </c>
      <c r="AE482" s="30">
        <v>17</v>
      </c>
      <c r="AF482" s="30">
        <v>18.899999999999999</v>
      </c>
      <c r="AG482" s="30">
        <v>16.899999999999999</v>
      </c>
      <c r="AH482" s="30">
        <v>11.2</v>
      </c>
      <c r="AI482" s="30">
        <v>4.0999999999999996</v>
      </c>
      <c r="AJ482" s="30">
        <v>-3</v>
      </c>
      <c r="AK482" s="30">
        <v>-8.5</v>
      </c>
      <c r="AL482" s="30">
        <v>4.2</v>
      </c>
    </row>
    <row r="483" spans="1:38" x14ac:dyDescent="0.25">
      <c r="A483" s="31" t="s">
        <v>226</v>
      </c>
      <c r="B483" s="30">
        <v>-40</v>
      </c>
      <c r="C483" s="30">
        <v>-36</v>
      </c>
      <c r="D483" s="30">
        <v>-35</v>
      </c>
      <c r="E483" s="30">
        <v>-32</v>
      </c>
      <c r="F483" s="30">
        <v>-18</v>
      </c>
      <c r="G483" s="30">
        <v>-44</v>
      </c>
      <c r="H483" s="30">
        <v>6.8</v>
      </c>
      <c r="I483" s="30">
        <v>156</v>
      </c>
      <c r="J483" s="30">
        <v>-8.3000000000000007</v>
      </c>
      <c r="K483" s="30">
        <v>217</v>
      </c>
      <c r="L483" s="30">
        <v>-4.9000000000000004</v>
      </c>
      <c r="M483" s="30">
        <v>232</v>
      </c>
      <c r="N483" s="30">
        <v>-3.9</v>
      </c>
      <c r="O483" s="30">
        <v>84</v>
      </c>
      <c r="P483" s="30">
        <v>84</v>
      </c>
      <c r="Q483" s="30">
        <v>160</v>
      </c>
      <c r="R483" s="30" t="s">
        <v>150</v>
      </c>
      <c r="S483" s="30" t="s">
        <v>41</v>
      </c>
      <c r="T483" s="30">
        <v>5</v>
      </c>
      <c r="U483" s="32">
        <v>0</v>
      </c>
      <c r="Y483" s="31" t="s">
        <v>226</v>
      </c>
      <c r="Z483" s="30">
        <v>-13</v>
      </c>
      <c r="AA483" s="30">
        <v>-12.4</v>
      </c>
      <c r="AB483" s="30">
        <v>-6</v>
      </c>
      <c r="AC483" s="30">
        <v>3.6</v>
      </c>
      <c r="AD483" s="30">
        <v>12</v>
      </c>
      <c r="AE483" s="30">
        <v>16.5</v>
      </c>
      <c r="AF483" s="30">
        <v>18.600000000000001</v>
      </c>
      <c r="AG483" s="30">
        <v>16.899999999999999</v>
      </c>
      <c r="AH483" s="30">
        <v>10.8</v>
      </c>
      <c r="AI483" s="30">
        <v>3.3</v>
      </c>
      <c r="AJ483" s="30">
        <v>-3.7</v>
      </c>
      <c r="AK483" s="30">
        <v>-10</v>
      </c>
      <c r="AL483" s="30">
        <v>3</v>
      </c>
    </row>
    <row r="484" spans="1:38" ht="38.25" x14ac:dyDescent="0.25">
      <c r="A484" s="33" t="s">
        <v>225</v>
      </c>
      <c r="B484" s="70"/>
      <c r="C484" s="70"/>
      <c r="D484" s="70"/>
      <c r="E484" s="70"/>
      <c r="F484" s="70"/>
      <c r="G484" s="70"/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/>
      <c r="S484" s="70"/>
      <c r="T484" s="70"/>
      <c r="U484" s="34"/>
      <c r="Y484" s="33" t="s">
        <v>225</v>
      </c>
      <c r="Z484" s="70"/>
      <c r="AA484" s="70"/>
      <c r="AB484" s="70"/>
      <c r="AC484" s="70"/>
      <c r="AD484" s="70"/>
      <c r="AE484" s="70"/>
      <c r="AF484" s="70"/>
      <c r="AG484" s="70"/>
      <c r="AH484" s="70"/>
      <c r="AI484" s="70"/>
      <c r="AJ484" s="70"/>
      <c r="AK484" s="70"/>
      <c r="AL484" s="70"/>
    </row>
    <row r="485" spans="1:38" x14ac:dyDescent="0.25">
      <c r="A485" s="31" t="s">
        <v>939</v>
      </c>
      <c r="B485" s="30">
        <v>-42</v>
      </c>
      <c r="C485" s="30">
        <v>-41</v>
      </c>
      <c r="D485" s="30">
        <v>-39</v>
      </c>
      <c r="E485" s="30">
        <v>-38</v>
      </c>
      <c r="F485" s="30">
        <v>-25</v>
      </c>
      <c r="G485" s="30">
        <v>-45</v>
      </c>
      <c r="H485" s="30">
        <v>7.4</v>
      </c>
      <c r="I485" s="30">
        <v>235</v>
      </c>
      <c r="J485" s="30">
        <v>-15.5</v>
      </c>
      <c r="K485" s="30">
        <v>299</v>
      </c>
      <c r="L485" s="30">
        <v>-11.3</v>
      </c>
      <c r="M485" s="30">
        <v>322</v>
      </c>
      <c r="N485" s="30">
        <v>-9.8000000000000007</v>
      </c>
      <c r="O485" s="30">
        <v>81</v>
      </c>
      <c r="P485" s="30">
        <v>80</v>
      </c>
      <c r="Q485" s="30">
        <v>164</v>
      </c>
      <c r="R485" s="30" t="s">
        <v>140</v>
      </c>
      <c r="S485" s="30">
        <v>6.3</v>
      </c>
      <c r="T485" s="30">
        <v>6.7</v>
      </c>
      <c r="U485" s="32">
        <v>4</v>
      </c>
      <c r="V485" s="35">
        <v>5</v>
      </c>
      <c r="Y485" s="31" t="s">
        <v>224</v>
      </c>
      <c r="Z485" s="30">
        <v>-21.1</v>
      </c>
      <c r="AA485" s="30">
        <v>-22.2</v>
      </c>
      <c r="AB485" s="30">
        <v>-19.600000000000001</v>
      </c>
      <c r="AC485" s="30">
        <v>-13.4</v>
      </c>
      <c r="AD485" s="30">
        <v>-2.1</v>
      </c>
      <c r="AE485" s="30">
        <v>5.9</v>
      </c>
      <c r="AF485" s="30">
        <v>11.2</v>
      </c>
      <c r="AG485" s="30">
        <v>10</v>
      </c>
      <c r="AH485" s="30">
        <v>4.5</v>
      </c>
      <c r="AI485" s="30">
        <v>-5.3</v>
      </c>
      <c r="AJ485" s="30">
        <v>-14.1</v>
      </c>
      <c r="AK485" s="30">
        <v>-20.100000000000001</v>
      </c>
      <c r="AL485" s="30">
        <v>-7.2</v>
      </c>
    </row>
    <row r="486" spans="1:38" x14ac:dyDescent="0.25">
      <c r="A486" s="31" t="s">
        <v>223</v>
      </c>
      <c r="B486" s="30">
        <v>-52</v>
      </c>
      <c r="C486" s="30">
        <v>-51</v>
      </c>
      <c r="D486" s="30">
        <v>-51</v>
      </c>
      <c r="E486" s="30">
        <v>-50</v>
      </c>
      <c r="F486" s="30">
        <v>-37</v>
      </c>
      <c r="G486" s="30">
        <v>-53</v>
      </c>
      <c r="H486" s="30">
        <v>11.6</v>
      </c>
      <c r="I486" s="30">
        <v>236</v>
      </c>
      <c r="J486" s="30">
        <v>-18.2</v>
      </c>
      <c r="K486" s="30">
        <v>296</v>
      </c>
      <c r="L486" s="30">
        <v>-13.6</v>
      </c>
      <c r="M486" s="30">
        <v>314</v>
      </c>
      <c r="N486" s="30">
        <v>-12.3</v>
      </c>
      <c r="O486" s="30">
        <v>77</v>
      </c>
      <c r="P486" s="30">
        <v>76</v>
      </c>
      <c r="Q486" s="30">
        <v>113</v>
      </c>
      <c r="R486" s="30" t="s">
        <v>142</v>
      </c>
      <c r="S486" s="30" t="s">
        <v>41</v>
      </c>
      <c r="T486" s="30">
        <v>2.2000000000000002</v>
      </c>
      <c r="U486" s="32">
        <v>4</v>
      </c>
      <c r="V486" s="35">
        <v>5</v>
      </c>
      <c r="Y486" s="31" t="s">
        <v>223</v>
      </c>
      <c r="Z486" s="30">
        <v>-22.7</v>
      </c>
      <c r="AA486" s="30">
        <v>-26.2</v>
      </c>
      <c r="AB486" s="30">
        <v>-23.4</v>
      </c>
      <c r="AC486" s="30">
        <v>-14.4</v>
      </c>
      <c r="AD486" s="30">
        <v>-2</v>
      </c>
      <c r="AE486" s="30">
        <v>8.6</v>
      </c>
      <c r="AF486" s="30">
        <v>12.1</v>
      </c>
      <c r="AG486" s="30">
        <v>9.5</v>
      </c>
      <c r="AH486" s="30">
        <v>3.1</v>
      </c>
      <c r="AI486" s="30">
        <v>-8.6999999999999993</v>
      </c>
      <c r="AJ486" s="30">
        <v>-18.7</v>
      </c>
      <c r="AK486" s="30">
        <v>-25.3</v>
      </c>
      <c r="AL486" s="30">
        <v>-9</v>
      </c>
    </row>
    <row r="487" spans="1:38" x14ac:dyDescent="0.25">
      <c r="A487" s="31" t="s">
        <v>590</v>
      </c>
      <c r="B487" s="30">
        <v>-51</v>
      </c>
      <c r="C487" s="30">
        <v>-50</v>
      </c>
      <c r="D487" s="30">
        <v>-49</v>
      </c>
      <c r="E487" s="30">
        <v>-47</v>
      </c>
      <c r="F487" s="30">
        <v>-29</v>
      </c>
      <c r="G487" s="30">
        <v>-60</v>
      </c>
      <c r="H487" s="30">
        <v>9.8000000000000007</v>
      </c>
      <c r="I487" s="30">
        <v>233</v>
      </c>
      <c r="J487" s="30">
        <v>-18.7</v>
      </c>
      <c r="K487" s="30">
        <v>274</v>
      </c>
      <c r="L487" s="30">
        <v>-15.3</v>
      </c>
      <c r="M487" s="30">
        <v>290</v>
      </c>
      <c r="N487" s="30">
        <v>-13.9</v>
      </c>
      <c r="O487" s="30">
        <v>78</v>
      </c>
      <c r="P487" s="30">
        <v>77</v>
      </c>
      <c r="Q487" s="30">
        <v>142</v>
      </c>
      <c r="R487" s="30" t="s">
        <v>165</v>
      </c>
      <c r="S487" s="30">
        <v>4</v>
      </c>
      <c r="T487" s="30">
        <v>2.2000000000000002</v>
      </c>
      <c r="U487" s="32">
        <v>4</v>
      </c>
      <c r="V487" s="35">
        <v>5</v>
      </c>
      <c r="Y487" s="31" t="s">
        <v>222</v>
      </c>
      <c r="Z487" s="30">
        <v>-25.9</v>
      </c>
      <c r="AA487" s="30">
        <v>-25.4</v>
      </c>
      <c r="AB487" s="30">
        <v>-21.5</v>
      </c>
      <c r="AC487" s="30">
        <v>-14.1</v>
      </c>
      <c r="AD487" s="30">
        <v>-0.2</v>
      </c>
      <c r="AE487" s="30">
        <v>11.4</v>
      </c>
      <c r="AF487" s="30">
        <v>14.4</v>
      </c>
      <c r="AG487" s="30">
        <v>11.1</v>
      </c>
      <c r="AH487" s="30">
        <v>4.3</v>
      </c>
      <c r="AI487" s="30">
        <v>-7.9</v>
      </c>
      <c r="AJ487" s="30">
        <v>-19</v>
      </c>
      <c r="AK487" s="30">
        <v>-25.4</v>
      </c>
      <c r="AL487" s="30">
        <v>-8.1999999999999993</v>
      </c>
    </row>
    <row r="488" spans="1:38" x14ac:dyDescent="0.25">
      <c r="A488" s="31" t="s">
        <v>221</v>
      </c>
      <c r="B488" s="30">
        <v>-56</v>
      </c>
      <c r="C488" s="30">
        <v>-53</v>
      </c>
      <c r="D488" s="30">
        <v>-50</v>
      </c>
      <c r="E488" s="30">
        <v>-47</v>
      </c>
      <c r="F488" s="30">
        <v>-37</v>
      </c>
      <c r="G488" s="30">
        <v>-61</v>
      </c>
      <c r="H488" s="30">
        <v>9.6</v>
      </c>
      <c r="I488" s="30">
        <v>232</v>
      </c>
      <c r="J488" s="30">
        <v>-25.2</v>
      </c>
      <c r="K488" s="30">
        <v>283</v>
      </c>
      <c r="L488" s="30">
        <v>-19.8</v>
      </c>
      <c r="M488" s="30">
        <v>299</v>
      </c>
      <c r="N488" s="30">
        <v>-18.3</v>
      </c>
      <c r="O488" s="30">
        <v>75</v>
      </c>
      <c r="P488" s="30">
        <v>74</v>
      </c>
      <c r="Q488" s="30">
        <v>88</v>
      </c>
      <c r="R488" s="30" t="s">
        <v>140</v>
      </c>
      <c r="S488" s="30">
        <v>4.2</v>
      </c>
      <c r="T488" s="30">
        <v>1.6</v>
      </c>
      <c r="U488" s="32">
        <v>4</v>
      </c>
      <c r="V488" s="35">
        <v>5</v>
      </c>
      <c r="Y488" s="31" t="s">
        <v>221</v>
      </c>
      <c r="Z488" s="30">
        <v>-36.4</v>
      </c>
      <c r="AA488" s="30">
        <v>-35.6</v>
      </c>
      <c r="AB488" s="30">
        <v>-28.2</v>
      </c>
      <c r="AC488" s="30">
        <v>-14.6</v>
      </c>
      <c r="AD488" s="30">
        <v>1.1000000000000001</v>
      </c>
      <c r="AE488" s="30">
        <v>11.6</v>
      </c>
      <c r="AF488" s="30">
        <v>13.2</v>
      </c>
      <c r="AG488" s="30">
        <v>9.9</v>
      </c>
      <c r="AH488" s="30">
        <v>2.5</v>
      </c>
      <c r="AI488" s="30">
        <v>-12.1</v>
      </c>
      <c r="AJ488" s="30">
        <v>-28.8</v>
      </c>
      <c r="AK488" s="30">
        <v>-36.200000000000003</v>
      </c>
      <c r="AL488" s="30">
        <v>-12.8</v>
      </c>
    </row>
    <row r="489" spans="1:38" x14ac:dyDescent="0.25">
      <c r="A489" s="31" t="s">
        <v>941</v>
      </c>
      <c r="B489" s="30">
        <v>-57</v>
      </c>
      <c r="C489" s="30">
        <v>-53</v>
      </c>
      <c r="D489" s="30">
        <v>-55</v>
      </c>
      <c r="E489" s="30">
        <v>-51</v>
      </c>
      <c r="F489" s="30">
        <v>-39</v>
      </c>
      <c r="G489" s="30">
        <v>-58</v>
      </c>
      <c r="H489" s="30">
        <v>9.1999999999999993</v>
      </c>
      <c r="I489" s="30">
        <v>231</v>
      </c>
      <c r="J489" s="30">
        <v>-23.7</v>
      </c>
      <c r="K489" s="30">
        <v>278</v>
      </c>
      <c r="L489" s="30">
        <v>-19</v>
      </c>
      <c r="M489" s="30">
        <v>296</v>
      </c>
      <c r="N489" s="30">
        <v>-17.3</v>
      </c>
      <c r="O489" s="30">
        <v>75</v>
      </c>
      <c r="P489" s="30">
        <v>75</v>
      </c>
      <c r="Q489" s="30">
        <v>71</v>
      </c>
      <c r="R489" s="30" t="s">
        <v>140</v>
      </c>
      <c r="S489" s="30">
        <v>4.5</v>
      </c>
      <c r="T489" s="30">
        <v>1.8</v>
      </c>
      <c r="U489" s="32">
        <v>4</v>
      </c>
      <c r="V489" s="35">
        <v>5</v>
      </c>
      <c r="Y489" s="31" t="s">
        <v>220</v>
      </c>
      <c r="Z489" s="30">
        <v>-34.4</v>
      </c>
      <c r="AA489" s="30">
        <v>-32.700000000000003</v>
      </c>
      <c r="AB489" s="30">
        <v>-24.8</v>
      </c>
      <c r="AC489" s="30">
        <v>-13.5</v>
      </c>
      <c r="AD489" s="30">
        <v>1.7</v>
      </c>
      <c r="AE489" s="30">
        <v>11.7</v>
      </c>
      <c r="AF489" s="30">
        <v>13.8</v>
      </c>
      <c r="AG489" s="30">
        <v>9.8000000000000007</v>
      </c>
      <c r="AH489" s="30">
        <v>2.7</v>
      </c>
      <c r="AI489" s="30">
        <v>-11.3</v>
      </c>
      <c r="AJ489" s="30">
        <v>-25.8</v>
      </c>
      <c r="AK489" s="30">
        <v>-33.299999999999997</v>
      </c>
      <c r="AL489" s="30">
        <v>-11.3</v>
      </c>
    </row>
    <row r="490" spans="1:38" x14ac:dyDescent="0.25">
      <c r="A490" s="31" t="s">
        <v>942</v>
      </c>
      <c r="B490" s="30">
        <v>-54</v>
      </c>
      <c r="C490" s="30">
        <v>-53</v>
      </c>
      <c r="D490" s="30">
        <v>-53</v>
      </c>
      <c r="E490" s="30">
        <v>-51</v>
      </c>
      <c r="F490" s="30">
        <v>-39</v>
      </c>
      <c r="G490" s="30">
        <v>-60</v>
      </c>
      <c r="H490" s="30">
        <v>7.5</v>
      </c>
      <c r="I490" s="30">
        <v>230</v>
      </c>
      <c r="J490" s="30">
        <v>-24.6</v>
      </c>
      <c r="K490" s="30">
        <v>278</v>
      </c>
      <c r="L490" s="30">
        <v>-19.600000000000001</v>
      </c>
      <c r="M490" s="30">
        <v>295</v>
      </c>
      <c r="N490" s="30">
        <v>-17.899999999999999</v>
      </c>
      <c r="O490" s="30">
        <v>75</v>
      </c>
      <c r="P490" s="30">
        <v>73</v>
      </c>
      <c r="Q490" s="30">
        <v>66</v>
      </c>
      <c r="R490" s="30" t="s">
        <v>155</v>
      </c>
      <c r="S490" s="30">
        <v>1.7</v>
      </c>
      <c r="T490" s="30">
        <v>1.3</v>
      </c>
      <c r="U490" s="32">
        <v>4</v>
      </c>
      <c r="V490" s="35">
        <v>5</v>
      </c>
      <c r="Y490" s="31" t="s">
        <v>219</v>
      </c>
      <c r="Z490" s="30">
        <v>-36.200000000000003</v>
      </c>
      <c r="AA490" s="30">
        <v>-33.9</v>
      </c>
      <c r="AB490" s="30">
        <v>-25.6</v>
      </c>
      <c r="AC490" s="30">
        <v>-13.2</v>
      </c>
      <c r="AD490" s="30">
        <v>2.2000000000000002</v>
      </c>
      <c r="AE490" s="30">
        <v>11.8</v>
      </c>
      <c r="AF490" s="30">
        <v>13.7</v>
      </c>
      <c r="AG490" s="30">
        <v>9.8000000000000007</v>
      </c>
      <c r="AH490" s="30">
        <v>2.8</v>
      </c>
      <c r="AI490" s="30">
        <v>-11</v>
      </c>
      <c r="AJ490" s="30">
        <v>-26.9</v>
      </c>
      <c r="AK490" s="30">
        <v>-34.9</v>
      </c>
      <c r="AL490" s="30">
        <v>-11.8</v>
      </c>
    </row>
    <row r="491" spans="1:38" x14ac:dyDescent="0.25">
      <c r="A491" s="31" t="s">
        <v>943</v>
      </c>
      <c r="B491" s="30">
        <v>-53</v>
      </c>
      <c r="C491" s="30">
        <v>-51</v>
      </c>
      <c r="D491" s="30">
        <v>-51</v>
      </c>
      <c r="E491" s="30">
        <v>-48</v>
      </c>
      <c r="F491" s="30">
        <v>-30</v>
      </c>
      <c r="G491" s="30">
        <v>-56</v>
      </c>
      <c r="H491" s="30">
        <v>10.1</v>
      </c>
      <c r="I491" s="30">
        <v>237</v>
      </c>
      <c r="J491" s="30">
        <v>-19.2</v>
      </c>
      <c r="K491" s="30">
        <v>283</v>
      </c>
      <c r="L491" s="30">
        <v>-15.3</v>
      </c>
      <c r="M491" s="30">
        <v>301</v>
      </c>
      <c r="N491" s="30">
        <v>-13.9</v>
      </c>
      <c r="O491" s="30">
        <v>72</v>
      </c>
      <c r="P491" s="30">
        <v>71</v>
      </c>
      <c r="Q491" s="30">
        <v>95</v>
      </c>
      <c r="R491" s="30" t="s">
        <v>140</v>
      </c>
      <c r="S491" s="30">
        <v>4.5999999999999996</v>
      </c>
      <c r="T491" s="30">
        <v>1.9</v>
      </c>
      <c r="U491" s="32">
        <v>4</v>
      </c>
      <c r="V491" s="35">
        <v>5</v>
      </c>
      <c r="Y491" s="31" t="s">
        <v>218</v>
      </c>
      <c r="Z491" s="30">
        <v>-26.1</v>
      </c>
      <c r="AA491" s="30">
        <v>-25.9</v>
      </c>
      <c r="AB491" s="30">
        <v>-22.7</v>
      </c>
      <c r="AC491" s="30">
        <v>-15.6</v>
      </c>
      <c r="AD491" s="30">
        <v>-0.9</v>
      </c>
      <c r="AE491" s="30">
        <v>10.4</v>
      </c>
      <c r="AF491" s="30">
        <v>13.4</v>
      </c>
      <c r="AG491" s="30">
        <v>9.9</v>
      </c>
      <c r="AH491" s="30">
        <v>2.8</v>
      </c>
      <c r="AI491" s="30">
        <v>-9.3000000000000007</v>
      </c>
      <c r="AJ491" s="30">
        <v>-19.600000000000001</v>
      </c>
      <c r="AK491" s="30">
        <v>-25.3</v>
      </c>
      <c r="AL491" s="30">
        <v>-9.1</v>
      </c>
    </row>
    <row r="492" spans="1:38" ht="25.5" x14ac:dyDescent="0.25">
      <c r="A492" s="33" t="s">
        <v>217</v>
      </c>
      <c r="B492" s="70"/>
      <c r="C492" s="70"/>
      <c r="D492" s="70"/>
      <c r="E492" s="70"/>
      <c r="F492" s="70"/>
      <c r="G492" s="70"/>
      <c r="H492" s="70"/>
      <c r="I492" s="70"/>
      <c r="J492" s="70"/>
      <c r="K492" s="70"/>
      <c r="L492" s="70"/>
      <c r="M492" s="70"/>
      <c r="N492" s="70"/>
      <c r="O492" s="70"/>
      <c r="P492" s="70"/>
      <c r="Q492" s="70"/>
      <c r="R492" s="70"/>
      <c r="S492" s="70"/>
      <c r="T492" s="70"/>
      <c r="U492" s="34"/>
      <c r="Y492" s="33" t="s">
        <v>217</v>
      </c>
      <c r="Z492" s="70"/>
      <c r="AA492" s="70"/>
      <c r="AB492" s="70"/>
      <c r="AC492" s="70"/>
      <c r="AD492" s="70"/>
      <c r="AE492" s="70"/>
      <c r="AF492" s="70"/>
      <c r="AG492" s="70"/>
      <c r="AH492" s="70"/>
      <c r="AI492" s="70"/>
      <c r="AJ492" s="70"/>
      <c r="AK492" s="70"/>
      <c r="AL492" s="70"/>
    </row>
    <row r="493" spans="1:38" x14ac:dyDescent="0.25">
      <c r="A493" s="31" t="s">
        <v>944</v>
      </c>
      <c r="B493" s="30">
        <v>-47</v>
      </c>
      <c r="C493" s="30">
        <v>-43</v>
      </c>
      <c r="D493" s="30">
        <v>-43</v>
      </c>
      <c r="E493" s="30">
        <v>-41</v>
      </c>
      <c r="F493" s="30">
        <v>-31</v>
      </c>
      <c r="G493" s="30">
        <v>-51</v>
      </c>
      <c r="H493" s="30">
        <v>8.4</v>
      </c>
      <c r="I493" s="30">
        <v>214</v>
      </c>
      <c r="J493" s="30">
        <v>-17.7</v>
      </c>
      <c r="K493" s="30">
        <v>263</v>
      </c>
      <c r="L493" s="30">
        <v>-13.6</v>
      </c>
      <c r="M493" s="30">
        <v>276</v>
      </c>
      <c r="N493" s="30">
        <v>-12.6</v>
      </c>
      <c r="O493" s="30">
        <v>78</v>
      </c>
      <c r="P493" s="30">
        <v>76</v>
      </c>
      <c r="Q493" s="30">
        <v>146</v>
      </c>
      <c r="R493" s="30" t="s">
        <v>155</v>
      </c>
      <c r="S493" s="30">
        <v>2.2999999999999998</v>
      </c>
      <c r="T493" s="30">
        <v>2.1</v>
      </c>
      <c r="U493" s="32">
        <v>4</v>
      </c>
      <c r="V493" s="35">
        <v>5</v>
      </c>
      <c r="Y493" s="31" t="s">
        <v>216</v>
      </c>
      <c r="Z493" s="30">
        <v>-26.7</v>
      </c>
      <c r="AA493" s="30">
        <v>-24.3</v>
      </c>
      <c r="AB493" s="30">
        <v>-15.5</v>
      </c>
      <c r="AC493" s="30">
        <v>-4.5</v>
      </c>
      <c r="AD493" s="30">
        <v>4.9000000000000004</v>
      </c>
      <c r="AE493" s="30">
        <v>13.5</v>
      </c>
      <c r="AF493" s="30">
        <v>16.399999999999999</v>
      </c>
      <c r="AG493" s="30">
        <v>13.2</v>
      </c>
      <c r="AH493" s="30">
        <v>4.9000000000000004</v>
      </c>
      <c r="AI493" s="30">
        <v>-6.5</v>
      </c>
      <c r="AJ493" s="30">
        <v>-19</v>
      </c>
      <c r="AK493" s="30">
        <v>-25.4</v>
      </c>
      <c r="AL493" s="30">
        <v>-5.7</v>
      </c>
    </row>
    <row r="494" spans="1:38" x14ac:dyDescent="0.25">
      <c r="A494" s="31" t="s">
        <v>215</v>
      </c>
      <c r="B494" s="30">
        <v>-57</v>
      </c>
      <c r="C494" s="30">
        <v>-56</v>
      </c>
      <c r="D494" s="30">
        <v>-55</v>
      </c>
      <c r="E494" s="30">
        <v>-54</v>
      </c>
      <c r="F494" s="30">
        <v>-49</v>
      </c>
      <c r="G494" s="30">
        <v>-59</v>
      </c>
      <c r="H494" s="30">
        <v>9.1999999999999993</v>
      </c>
      <c r="I494" s="30">
        <v>231</v>
      </c>
      <c r="J494" s="30">
        <v>-27</v>
      </c>
      <c r="K494" s="30">
        <v>280</v>
      </c>
      <c r="L494" s="30">
        <v>-21.4</v>
      </c>
      <c r="M494" s="30">
        <v>295</v>
      </c>
      <c r="N494" s="30">
        <v>-19.899999999999999</v>
      </c>
      <c r="O494" s="30">
        <v>75</v>
      </c>
      <c r="P494" s="30">
        <v>75</v>
      </c>
      <c r="Q494" s="30">
        <v>32</v>
      </c>
      <c r="R494" s="30" t="s">
        <v>165</v>
      </c>
      <c r="S494" s="30">
        <v>3.2</v>
      </c>
      <c r="T494" s="30">
        <v>0.9</v>
      </c>
      <c r="U494" s="32">
        <v>4</v>
      </c>
      <c r="V494" s="35">
        <v>5</v>
      </c>
      <c r="Y494" s="31" t="s">
        <v>215</v>
      </c>
      <c r="Z494" s="30">
        <v>-44.1</v>
      </c>
      <c r="AA494" s="30">
        <v>-39.200000000000003</v>
      </c>
      <c r="AB494" s="30">
        <v>-26.6</v>
      </c>
      <c r="AC494" s="30">
        <v>-11.4</v>
      </c>
      <c r="AD494" s="30">
        <v>2.2999999999999998</v>
      </c>
      <c r="AE494" s="30">
        <v>10.9</v>
      </c>
      <c r="AF494" s="30">
        <v>14.7</v>
      </c>
      <c r="AG494" s="30">
        <v>11.4</v>
      </c>
      <c r="AH494" s="30">
        <v>3.5</v>
      </c>
      <c r="AI494" s="30">
        <v>-12.2</v>
      </c>
      <c r="AJ494" s="30">
        <v>-32.200000000000003</v>
      </c>
      <c r="AK494" s="30">
        <v>-42.7</v>
      </c>
      <c r="AL494" s="30">
        <v>-13.8</v>
      </c>
    </row>
    <row r="495" spans="1:38" x14ac:dyDescent="0.25">
      <c r="A495" s="31" t="s">
        <v>214</v>
      </c>
      <c r="B495" s="30">
        <v>-59</v>
      </c>
      <c r="C495" s="30">
        <v>-58</v>
      </c>
      <c r="D495" s="30">
        <v>-57</v>
      </c>
      <c r="E495" s="30">
        <v>-55</v>
      </c>
      <c r="F495" s="30">
        <v>-48</v>
      </c>
      <c r="G495" s="30">
        <v>-63</v>
      </c>
      <c r="H495" s="30">
        <v>8.9</v>
      </c>
      <c r="I495" s="30">
        <v>217</v>
      </c>
      <c r="J495" s="30">
        <v>-26.1</v>
      </c>
      <c r="K495" s="30">
        <v>259</v>
      </c>
      <c r="L495" s="30">
        <v>-21.3</v>
      </c>
      <c r="M495" s="30">
        <v>273</v>
      </c>
      <c r="N495" s="30">
        <v>-19.7</v>
      </c>
      <c r="O495" s="30">
        <v>76</v>
      </c>
      <c r="P495" s="30">
        <v>76</v>
      </c>
      <c r="Q495" s="30">
        <v>58</v>
      </c>
      <c r="R495" s="30" t="s">
        <v>142</v>
      </c>
      <c r="S495" s="30">
        <v>2.5</v>
      </c>
      <c r="T495" s="30">
        <v>1.6</v>
      </c>
      <c r="U495" s="32">
        <v>4</v>
      </c>
      <c r="V495" s="35">
        <v>5</v>
      </c>
      <c r="Y495" s="31" t="s">
        <v>214</v>
      </c>
      <c r="Z495" s="30">
        <v>-42.9</v>
      </c>
      <c r="AA495" s="30">
        <v>-38</v>
      </c>
      <c r="AB495" s="30">
        <v>-24</v>
      </c>
      <c r="AC495" s="30">
        <v>-7.5</v>
      </c>
      <c r="AD495" s="30">
        <v>6.1</v>
      </c>
      <c r="AE495" s="30">
        <v>14.5</v>
      </c>
      <c r="AF495" s="30">
        <v>17.7</v>
      </c>
      <c r="AG495" s="30">
        <v>14.1</v>
      </c>
      <c r="AH495" s="30">
        <v>5.3</v>
      </c>
      <c r="AI495" s="30">
        <v>-8.9</v>
      </c>
      <c r="AJ495" s="30">
        <v>-29.6</v>
      </c>
      <c r="AK495" s="30">
        <v>-40.6</v>
      </c>
      <c r="AL495" s="30">
        <v>-11.2</v>
      </c>
    </row>
    <row r="496" spans="1:38" x14ac:dyDescent="0.25">
      <c r="A496" s="31" t="s">
        <v>213</v>
      </c>
      <c r="B496" s="30">
        <v>-58</v>
      </c>
      <c r="C496" s="30">
        <v>-56</v>
      </c>
      <c r="D496" s="30">
        <v>-54</v>
      </c>
      <c r="E496" s="30">
        <v>-52</v>
      </c>
      <c r="F496" s="30">
        <v>-47</v>
      </c>
      <c r="G496" s="30">
        <v>-63</v>
      </c>
      <c r="H496" s="30">
        <v>7.9</v>
      </c>
      <c r="I496" s="30">
        <v>222</v>
      </c>
      <c r="J496" s="30">
        <v>-25.7</v>
      </c>
      <c r="K496" s="30">
        <v>265</v>
      </c>
      <c r="L496" s="30">
        <v>-20.8</v>
      </c>
      <c r="M496" s="30">
        <v>279</v>
      </c>
      <c r="N496" s="30">
        <v>-19.399999999999999</v>
      </c>
      <c r="O496" s="30">
        <v>72</v>
      </c>
      <c r="P496" s="30">
        <v>69</v>
      </c>
      <c r="Q496" s="30">
        <v>53</v>
      </c>
      <c r="R496" s="30" t="s">
        <v>146</v>
      </c>
      <c r="S496" s="30" t="s">
        <v>41</v>
      </c>
      <c r="T496" s="30">
        <v>2.2999999999999998</v>
      </c>
      <c r="U496" s="32">
        <v>4</v>
      </c>
      <c r="V496" s="35">
        <v>5</v>
      </c>
      <c r="Y496" s="31" t="s">
        <v>213</v>
      </c>
      <c r="Z496" s="30">
        <v>-41.8</v>
      </c>
      <c r="AA496" s="30">
        <v>-37.4</v>
      </c>
      <c r="AB496" s="30">
        <v>-23.8</v>
      </c>
      <c r="AC496" s="30">
        <v>-8.8000000000000007</v>
      </c>
      <c r="AD496" s="30">
        <v>4.2</v>
      </c>
      <c r="AE496" s="30">
        <v>13.7</v>
      </c>
      <c r="AF496" s="30">
        <v>17.100000000000001</v>
      </c>
      <c r="AG496" s="30">
        <v>13.6</v>
      </c>
      <c r="AH496" s="30">
        <v>5</v>
      </c>
      <c r="AI496" s="30">
        <v>-9.6</v>
      </c>
      <c r="AJ496" s="30">
        <v>-30.6</v>
      </c>
      <c r="AK496" s="30">
        <v>-40.1</v>
      </c>
      <c r="AL496" s="30">
        <v>-11.5</v>
      </c>
    </row>
    <row r="497" spans="1:38" x14ac:dyDescent="0.25">
      <c r="A497" s="31" t="s">
        <v>212</v>
      </c>
      <c r="B497" s="30">
        <v>-58</v>
      </c>
      <c r="C497" s="30">
        <v>-57</v>
      </c>
      <c r="D497" s="30">
        <v>-56</v>
      </c>
      <c r="E497" s="30">
        <v>-54</v>
      </c>
      <c r="F497" s="30">
        <v>-45</v>
      </c>
      <c r="G497" s="30">
        <v>-61</v>
      </c>
      <c r="H497" s="30">
        <v>10.7</v>
      </c>
      <c r="I497" s="30">
        <v>222</v>
      </c>
      <c r="J497" s="30">
        <v>-24.5</v>
      </c>
      <c r="K497" s="30">
        <v>268</v>
      </c>
      <c r="L497" s="30">
        <v>-19.600000000000001</v>
      </c>
      <c r="M497" s="30">
        <v>282</v>
      </c>
      <c r="N497" s="30">
        <v>-18.100000000000001</v>
      </c>
      <c r="O497" s="30">
        <v>73</v>
      </c>
      <c r="P497" s="30">
        <v>72</v>
      </c>
      <c r="Q497" s="30">
        <v>56</v>
      </c>
      <c r="R497" s="30" t="s">
        <v>142</v>
      </c>
      <c r="S497" s="30" t="s">
        <v>41</v>
      </c>
      <c r="T497" s="30">
        <v>1.2</v>
      </c>
      <c r="U497" s="32">
        <v>4</v>
      </c>
      <c r="V497" s="35">
        <v>5</v>
      </c>
      <c r="Y497" s="31" t="s">
        <v>212</v>
      </c>
      <c r="Z497" s="30">
        <v>-40.5</v>
      </c>
      <c r="AA497" s="30">
        <v>-35.700000000000003</v>
      </c>
      <c r="AB497" s="30">
        <v>-22.9</v>
      </c>
      <c r="AC497" s="30">
        <v>-8.3000000000000007</v>
      </c>
      <c r="AD497" s="30">
        <v>4.7</v>
      </c>
      <c r="AE497" s="30">
        <v>13.5</v>
      </c>
      <c r="AF497" s="30">
        <v>16.3</v>
      </c>
      <c r="AG497" s="30">
        <v>12.6</v>
      </c>
      <c r="AH497" s="30">
        <v>3.9</v>
      </c>
      <c r="AI497" s="30">
        <v>-8.6999999999999993</v>
      </c>
      <c r="AJ497" s="30">
        <v>-28.2</v>
      </c>
      <c r="AK497" s="30">
        <v>-38.9</v>
      </c>
      <c r="AL497" s="30">
        <v>-11</v>
      </c>
    </row>
    <row r="498" spans="1:38" x14ac:dyDescent="0.25">
      <c r="A498" s="31" t="s">
        <v>211</v>
      </c>
      <c r="B498" s="30">
        <v>-57</v>
      </c>
      <c r="C498" s="30">
        <v>-55</v>
      </c>
      <c r="D498" s="30">
        <v>-55</v>
      </c>
      <c r="E498" s="30">
        <v>-52</v>
      </c>
      <c r="F498" s="30">
        <v>-43</v>
      </c>
      <c r="G498" s="30">
        <v>-61</v>
      </c>
      <c r="H498" s="30">
        <v>12.3</v>
      </c>
      <c r="I498" s="30">
        <v>218</v>
      </c>
      <c r="J498" s="30">
        <v>-23.1</v>
      </c>
      <c r="K498" s="30">
        <v>266</v>
      </c>
      <c r="L498" s="30">
        <v>-18.2</v>
      </c>
      <c r="M498" s="30">
        <v>280</v>
      </c>
      <c r="N498" s="30">
        <v>-16.7</v>
      </c>
      <c r="O498" s="30">
        <v>74</v>
      </c>
      <c r="P498" s="30">
        <v>72</v>
      </c>
      <c r="Q498" s="30">
        <v>56</v>
      </c>
      <c r="R498" s="30" t="s">
        <v>41</v>
      </c>
      <c r="S498" s="30" t="s">
        <v>41</v>
      </c>
      <c r="T498" s="30">
        <v>0.9</v>
      </c>
      <c r="U498" s="32">
        <v>4</v>
      </c>
      <c r="V498" s="35">
        <v>5</v>
      </c>
      <c r="Y498" s="31" t="s">
        <v>211</v>
      </c>
      <c r="Z498" s="30">
        <v>-37.6</v>
      </c>
      <c r="AA498" s="30">
        <v>-33.6</v>
      </c>
      <c r="AB498" s="30">
        <v>-21.6</v>
      </c>
      <c r="AC498" s="30">
        <v>-6.9</v>
      </c>
      <c r="AD498" s="30">
        <v>5.0999999999999996</v>
      </c>
      <c r="AE498" s="30">
        <v>13.2</v>
      </c>
      <c r="AF498" s="30">
        <v>16.5</v>
      </c>
      <c r="AG498" s="30">
        <v>13</v>
      </c>
      <c r="AH498" s="30">
        <v>4.7</v>
      </c>
      <c r="AI498" s="30">
        <v>-7.5</v>
      </c>
      <c r="AJ498" s="30">
        <v>-26</v>
      </c>
      <c r="AK498" s="30">
        <v>-36.4</v>
      </c>
      <c r="AL498" s="30">
        <v>-9.8000000000000007</v>
      </c>
    </row>
    <row r="499" spans="1:38" x14ac:dyDescent="0.25">
      <c r="A499" s="31" t="s">
        <v>945</v>
      </c>
      <c r="B499" s="30">
        <v>-62</v>
      </c>
      <c r="C499" s="30">
        <v>-60</v>
      </c>
      <c r="D499" s="30">
        <v>-61</v>
      </c>
      <c r="E499" s="30">
        <v>-58</v>
      </c>
      <c r="F499" s="30">
        <v>-51</v>
      </c>
      <c r="G499" s="30">
        <v>-68</v>
      </c>
      <c r="H499" s="30">
        <v>6</v>
      </c>
      <c r="I499" s="30">
        <v>228</v>
      </c>
      <c r="J499" s="30">
        <v>-30.6</v>
      </c>
      <c r="K499" s="30">
        <v>272</v>
      </c>
      <c r="L499" s="30">
        <v>-25</v>
      </c>
      <c r="M499" s="30">
        <v>285</v>
      </c>
      <c r="N499" s="30">
        <v>-23.4</v>
      </c>
      <c r="O499" s="30">
        <v>74</v>
      </c>
      <c r="P499" s="30">
        <v>73</v>
      </c>
      <c r="Q499" s="30">
        <v>35</v>
      </c>
      <c r="R499" s="30" t="s">
        <v>155</v>
      </c>
      <c r="S499" s="30">
        <v>1.5</v>
      </c>
      <c r="T499" s="30">
        <v>1</v>
      </c>
      <c r="U499" s="32">
        <v>4</v>
      </c>
      <c r="V499" s="35">
        <v>5</v>
      </c>
      <c r="Y499" s="31" t="s">
        <v>210</v>
      </c>
      <c r="Z499" s="30">
        <v>-46</v>
      </c>
      <c r="AA499" s="30">
        <v>-42.5</v>
      </c>
      <c r="AB499" s="30">
        <v>-29.9</v>
      </c>
      <c r="AC499" s="30">
        <v>-12.5</v>
      </c>
      <c r="AD499" s="30">
        <v>3.5</v>
      </c>
      <c r="AE499" s="30">
        <v>13.3</v>
      </c>
      <c r="AF499" s="30">
        <v>16</v>
      </c>
      <c r="AG499" s="30">
        <v>11.3</v>
      </c>
      <c r="AH499" s="30">
        <v>2.5</v>
      </c>
      <c r="AI499" s="30">
        <v>-14.6</v>
      </c>
      <c r="AJ499" s="30">
        <v>-35.700000000000003</v>
      </c>
      <c r="AK499" s="30">
        <v>-43.4</v>
      </c>
      <c r="AL499" s="30">
        <v>-14.8</v>
      </c>
    </row>
    <row r="500" spans="1:38" x14ac:dyDescent="0.25">
      <c r="A500" s="31" t="s">
        <v>946</v>
      </c>
      <c r="B500" s="30">
        <v>-57</v>
      </c>
      <c r="C500" s="30">
        <v>-55</v>
      </c>
      <c r="D500" s="30">
        <v>-54</v>
      </c>
      <c r="E500" s="30">
        <v>-51</v>
      </c>
      <c r="F500" s="30">
        <v>-41</v>
      </c>
      <c r="G500" s="30">
        <v>-61</v>
      </c>
      <c r="H500" s="30">
        <v>7.1</v>
      </c>
      <c r="I500" s="30">
        <v>213</v>
      </c>
      <c r="J500" s="30">
        <v>-23.7</v>
      </c>
      <c r="K500" s="30">
        <v>259</v>
      </c>
      <c r="L500" s="30">
        <v>-18.8</v>
      </c>
      <c r="M500" s="30">
        <v>271</v>
      </c>
      <c r="N500" s="30">
        <v>-17.5</v>
      </c>
      <c r="O500" s="30">
        <v>74</v>
      </c>
      <c r="P500" s="30">
        <v>73</v>
      </c>
      <c r="Q500" s="30">
        <v>55</v>
      </c>
      <c r="R500" s="30" t="s">
        <v>142</v>
      </c>
      <c r="S500" s="30">
        <v>2.1</v>
      </c>
      <c r="T500" s="30">
        <v>1.8</v>
      </c>
      <c r="U500" s="32">
        <v>4</v>
      </c>
      <c r="V500" s="35">
        <v>5</v>
      </c>
      <c r="Y500" s="31" t="s">
        <v>209</v>
      </c>
      <c r="Z500" s="30">
        <v>-36.700000000000003</v>
      </c>
      <c r="AA500" s="30">
        <v>-31.7</v>
      </c>
      <c r="AB500" s="30">
        <v>-19.2</v>
      </c>
      <c r="AC500" s="30">
        <v>-6</v>
      </c>
      <c r="AD500" s="30">
        <v>5.6</v>
      </c>
      <c r="AE500" s="30">
        <v>15.1</v>
      </c>
      <c r="AF500" s="30">
        <v>18.5</v>
      </c>
      <c r="AG500" s="30">
        <v>14.3</v>
      </c>
      <c r="AH500" s="30">
        <v>5.4</v>
      </c>
      <c r="AI500" s="30">
        <v>-7.7</v>
      </c>
      <c r="AJ500" s="30">
        <v>-26.5</v>
      </c>
      <c r="AK500" s="30">
        <v>-34.6</v>
      </c>
      <c r="AL500" s="30">
        <v>-8.6</v>
      </c>
    </row>
    <row r="501" spans="1:38" x14ac:dyDescent="0.25">
      <c r="A501" s="31" t="s">
        <v>947</v>
      </c>
      <c r="B501" s="30">
        <v>-55</v>
      </c>
      <c r="C501" s="30">
        <v>-52</v>
      </c>
      <c r="D501" s="30">
        <v>-53</v>
      </c>
      <c r="E501" s="30">
        <v>-50</v>
      </c>
      <c r="F501" s="30">
        <v>-32</v>
      </c>
      <c r="G501" s="30">
        <v>-61</v>
      </c>
      <c r="H501" s="30">
        <v>10.1</v>
      </c>
      <c r="I501" s="30">
        <v>202</v>
      </c>
      <c r="J501" s="30">
        <v>-18.5</v>
      </c>
      <c r="K501" s="30">
        <v>255</v>
      </c>
      <c r="L501" s="30">
        <v>-13.8</v>
      </c>
      <c r="M501" s="30">
        <v>268</v>
      </c>
      <c r="N501" s="30">
        <v>-12.7</v>
      </c>
      <c r="O501" s="30">
        <v>77</v>
      </c>
      <c r="P501" s="30">
        <v>76</v>
      </c>
      <c r="Q501" s="30">
        <v>131</v>
      </c>
      <c r="R501" s="30" t="s">
        <v>150</v>
      </c>
      <c r="S501" s="30">
        <v>3.8</v>
      </c>
      <c r="T501" s="30">
        <v>2.2999999999999998</v>
      </c>
      <c r="U501" s="32">
        <v>4</v>
      </c>
      <c r="V501" s="35">
        <v>5</v>
      </c>
      <c r="Y501" s="31" t="s">
        <v>208</v>
      </c>
      <c r="Z501" s="30">
        <v>-28.8</v>
      </c>
      <c r="AA501" s="30">
        <v>-25.6</v>
      </c>
      <c r="AB501" s="30">
        <v>-14.6</v>
      </c>
      <c r="AC501" s="30">
        <v>-2.9</v>
      </c>
      <c r="AD501" s="30">
        <v>6.3</v>
      </c>
      <c r="AE501" s="30">
        <v>14.8</v>
      </c>
      <c r="AF501" s="30">
        <v>18.100000000000001</v>
      </c>
      <c r="AG501" s="30">
        <v>14.6</v>
      </c>
      <c r="AH501" s="30">
        <v>6.4</v>
      </c>
      <c r="AI501" s="30">
        <v>-3.5</v>
      </c>
      <c r="AJ501" s="30">
        <v>-17.399999999999999</v>
      </c>
      <c r="AK501" s="30">
        <v>-26.6</v>
      </c>
      <c r="AL501" s="30">
        <v>-4.9000000000000004</v>
      </c>
    </row>
    <row r="502" spans="1:38" x14ac:dyDescent="0.25">
      <c r="A502" s="31" t="s">
        <v>207</v>
      </c>
      <c r="B502" s="30">
        <v>-55</v>
      </c>
      <c r="C502" s="30">
        <v>-53</v>
      </c>
      <c r="D502" s="30">
        <v>-52</v>
      </c>
      <c r="E502" s="30">
        <v>-51</v>
      </c>
      <c r="F502" s="30">
        <v>-43</v>
      </c>
      <c r="G502" s="30">
        <v>-57</v>
      </c>
      <c r="H502" s="30">
        <v>8.6999999999999993</v>
      </c>
      <c r="I502" s="30">
        <v>246</v>
      </c>
      <c r="J502" s="30">
        <v>-24.5</v>
      </c>
      <c r="K502" s="30">
        <v>297</v>
      </c>
      <c r="L502" s="30">
        <v>-19.600000000000001</v>
      </c>
      <c r="M502" s="30">
        <v>324</v>
      </c>
      <c r="N502" s="30">
        <v>-17.2</v>
      </c>
      <c r="O502" s="30">
        <v>76</v>
      </c>
      <c r="P502" s="30">
        <v>76</v>
      </c>
      <c r="Q502" s="30">
        <v>64</v>
      </c>
      <c r="R502" s="30" t="s">
        <v>140</v>
      </c>
      <c r="S502" s="30" t="s">
        <v>41</v>
      </c>
      <c r="T502" s="30">
        <v>1.6</v>
      </c>
      <c r="U502" s="32">
        <v>4</v>
      </c>
      <c r="V502" s="35">
        <v>5</v>
      </c>
      <c r="Y502" s="31" t="s">
        <v>207</v>
      </c>
      <c r="Z502" s="30">
        <v>-37.9</v>
      </c>
      <c r="AA502" s="30">
        <v>-36.200000000000003</v>
      </c>
      <c r="AB502" s="30">
        <v>-28.8</v>
      </c>
      <c r="AC502" s="30">
        <v>-16.8</v>
      </c>
      <c r="AD502" s="30">
        <v>-2.6</v>
      </c>
      <c r="AE502" s="30">
        <v>9.3000000000000007</v>
      </c>
      <c r="AF502" s="30">
        <v>11.9</v>
      </c>
      <c r="AG502" s="30">
        <v>8.6999999999999993</v>
      </c>
      <c r="AH502" s="30">
        <v>1.5</v>
      </c>
      <c r="AI502" s="30">
        <v>-13.2</v>
      </c>
      <c r="AJ502" s="30">
        <v>-29.7</v>
      </c>
      <c r="AK502" s="30">
        <v>-35.9</v>
      </c>
      <c r="AL502" s="30">
        <v>-14.2</v>
      </c>
    </row>
    <row r="503" spans="1:38" x14ac:dyDescent="0.25">
      <c r="A503" s="31" t="s">
        <v>206</v>
      </c>
      <c r="B503" s="30">
        <v>-62</v>
      </c>
      <c r="C503" s="30">
        <v>-59</v>
      </c>
      <c r="D503" s="30">
        <v>-60</v>
      </c>
      <c r="E503" s="30">
        <v>-56</v>
      </c>
      <c r="F503" s="30">
        <v>-44</v>
      </c>
      <c r="G503" s="30">
        <v>-64</v>
      </c>
      <c r="H503" s="30">
        <v>9.4</v>
      </c>
      <c r="I503" s="30">
        <v>247</v>
      </c>
      <c r="J503" s="30">
        <v>-24.2</v>
      </c>
      <c r="K503" s="30">
        <v>296</v>
      </c>
      <c r="L503" s="30">
        <v>-19.5</v>
      </c>
      <c r="M503" s="30">
        <v>316</v>
      </c>
      <c r="N503" s="30">
        <v>-17.7</v>
      </c>
      <c r="O503" s="30">
        <v>74</v>
      </c>
      <c r="P503" s="30">
        <v>74</v>
      </c>
      <c r="Q503" s="30">
        <v>53</v>
      </c>
      <c r="R503" s="30" t="s">
        <v>185</v>
      </c>
      <c r="S503" s="30" t="s">
        <v>41</v>
      </c>
      <c r="T503" s="30">
        <v>2.2000000000000002</v>
      </c>
      <c r="U503" s="32">
        <v>4</v>
      </c>
      <c r="V503" s="35">
        <v>5</v>
      </c>
      <c r="Y503" s="31" t="s">
        <v>206</v>
      </c>
      <c r="Z503" s="30">
        <v>-39.4</v>
      </c>
      <c r="AA503" s="30">
        <v>-35.9</v>
      </c>
      <c r="AB503" s="30">
        <v>-27.2</v>
      </c>
      <c r="AC503" s="30">
        <v>-14.8</v>
      </c>
      <c r="AD503" s="30">
        <v>-3</v>
      </c>
      <c r="AE503" s="30">
        <v>8.8000000000000007</v>
      </c>
      <c r="AF503" s="30">
        <v>13.7</v>
      </c>
      <c r="AG503" s="30">
        <v>9.3000000000000007</v>
      </c>
      <c r="AH503" s="30">
        <v>1.6</v>
      </c>
      <c r="AI503" s="30">
        <v>-12.7</v>
      </c>
      <c r="AJ503" s="30">
        <v>-31</v>
      </c>
      <c r="AK503" s="30">
        <v>-35.4</v>
      </c>
      <c r="AL503" s="30">
        <v>-13.9</v>
      </c>
    </row>
    <row r="504" spans="1:38" x14ac:dyDescent="0.25">
      <c r="A504" s="31" t="s">
        <v>948</v>
      </c>
      <c r="B504" s="30">
        <v>-59</v>
      </c>
      <c r="C504" s="30">
        <v>-57</v>
      </c>
      <c r="D504" s="30">
        <v>-57</v>
      </c>
      <c r="E504" s="30">
        <v>-54</v>
      </c>
      <c r="F504" s="30">
        <v>-42</v>
      </c>
      <c r="G504" s="30">
        <v>-60</v>
      </c>
      <c r="H504" s="30">
        <v>6.4</v>
      </c>
      <c r="I504" s="30">
        <v>234</v>
      </c>
      <c r="J504" s="30">
        <v>-24.8</v>
      </c>
      <c r="K504" s="30">
        <v>283</v>
      </c>
      <c r="L504" s="30">
        <v>-19.8</v>
      </c>
      <c r="M504" s="30">
        <v>296</v>
      </c>
      <c r="N504" s="30">
        <v>-18.5</v>
      </c>
      <c r="O504" s="30">
        <v>71</v>
      </c>
      <c r="P504" s="30">
        <v>71</v>
      </c>
      <c r="Q504" s="30">
        <v>63</v>
      </c>
      <c r="R504" s="30" t="s">
        <v>150</v>
      </c>
      <c r="S504" s="30">
        <v>4.9000000000000004</v>
      </c>
      <c r="T504" s="30">
        <v>3</v>
      </c>
      <c r="U504" s="32">
        <v>4</v>
      </c>
      <c r="V504" s="35">
        <v>5</v>
      </c>
      <c r="Y504" s="31" t="s">
        <v>205</v>
      </c>
      <c r="Z504" s="30">
        <v>-38</v>
      </c>
      <c r="AA504" s="30">
        <v>-34.4</v>
      </c>
      <c r="AB504" s="30">
        <v>-23.9</v>
      </c>
      <c r="AC504" s="30">
        <v>-11.9</v>
      </c>
      <c r="AD504" s="30">
        <v>0.1</v>
      </c>
      <c r="AE504" s="30">
        <v>10.8</v>
      </c>
      <c r="AF504" s="30">
        <v>15</v>
      </c>
      <c r="AG504" s="30">
        <v>11</v>
      </c>
      <c r="AH504" s="30">
        <v>2.8</v>
      </c>
      <c r="AI504" s="30">
        <v>-11.6</v>
      </c>
      <c r="AJ504" s="30">
        <v>-29.9</v>
      </c>
      <c r="AK504" s="30">
        <v>-35.700000000000003</v>
      </c>
      <c r="AL504" s="30">
        <v>-12.1</v>
      </c>
    </row>
    <row r="505" spans="1:38" x14ac:dyDescent="0.25">
      <c r="A505" s="31" t="s">
        <v>949</v>
      </c>
      <c r="B505" s="30">
        <v>-54</v>
      </c>
      <c r="C505" s="30">
        <v>-54</v>
      </c>
      <c r="D505" s="30">
        <v>-52</v>
      </c>
      <c r="E505" s="30">
        <v>-51</v>
      </c>
      <c r="F505" s="30">
        <v>-38</v>
      </c>
      <c r="G505" s="30">
        <v>-59</v>
      </c>
      <c r="H505" s="30">
        <v>10.5</v>
      </c>
      <c r="I505" s="30">
        <v>203</v>
      </c>
      <c r="J505" s="30">
        <v>-22.1</v>
      </c>
      <c r="K505" s="30">
        <v>256</v>
      </c>
      <c r="L505" s="30">
        <v>-16.600000000000001</v>
      </c>
      <c r="M505" s="30">
        <v>269</v>
      </c>
      <c r="N505" s="30">
        <v>-15.4</v>
      </c>
      <c r="O505" s="30">
        <v>77</v>
      </c>
      <c r="P505" s="30">
        <v>77</v>
      </c>
      <c r="Q505" s="30">
        <v>68</v>
      </c>
      <c r="R505" s="30" t="s">
        <v>142</v>
      </c>
      <c r="S505" s="30">
        <v>1.7</v>
      </c>
      <c r="T505" s="30">
        <v>0.7</v>
      </c>
      <c r="U505" s="32">
        <v>4</v>
      </c>
      <c r="V505" s="35">
        <v>5</v>
      </c>
      <c r="Y505" s="31" t="s">
        <v>204</v>
      </c>
      <c r="Z505" s="30">
        <v>-33.9</v>
      </c>
      <c r="AA505" s="30">
        <v>-29.6</v>
      </c>
      <c r="AB505" s="30">
        <v>-17.399999999999999</v>
      </c>
      <c r="AC505" s="30">
        <v>-3.4</v>
      </c>
      <c r="AD505" s="30">
        <v>6.8</v>
      </c>
      <c r="AE505" s="30">
        <v>14.7</v>
      </c>
      <c r="AF505" s="30">
        <v>17.600000000000001</v>
      </c>
      <c r="AG505" s="30">
        <v>13.9</v>
      </c>
      <c r="AH505" s="30">
        <v>5.8</v>
      </c>
      <c r="AI505" s="30">
        <v>-5.3</v>
      </c>
      <c r="AJ505" s="30">
        <v>-22.1</v>
      </c>
      <c r="AK505" s="30">
        <v>-31.8</v>
      </c>
      <c r="AL505" s="30">
        <v>-7.1</v>
      </c>
    </row>
    <row r="506" spans="1:38" x14ac:dyDescent="0.25">
      <c r="A506" s="31" t="s">
        <v>203</v>
      </c>
      <c r="B506" s="30">
        <v>-57</v>
      </c>
      <c r="C506" s="30">
        <v>-56</v>
      </c>
      <c r="D506" s="30">
        <v>-53</v>
      </c>
      <c r="E506" s="30">
        <v>-52</v>
      </c>
      <c r="F506" s="30">
        <v>-44</v>
      </c>
      <c r="G506" s="30">
        <v>-58</v>
      </c>
      <c r="H506" s="30">
        <v>8.8000000000000007</v>
      </c>
      <c r="I506" s="30">
        <v>236</v>
      </c>
      <c r="J506" s="30">
        <v>-25.2</v>
      </c>
      <c r="K506" s="30">
        <v>284</v>
      </c>
      <c r="L506" s="30">
        <v>-20.2</v>
      </c>
      <c r="M506" s="30">
        <v>297</v>
      </c>
      <c r="N506" s="30">
        <v>-18.899999999999999</v>
      </c>
      <c r="O506" s="30">
        <v>76</v>
      </c>
      <c r="P506" s="30">
        <v>76</v>
      </c>
      <c r="Q506" s="30">
        <v>78</v>
      </c>
      <c r="R506" s="30" t="s">
        <v>140</v>
      </c>
      <c r="S506" s="30">
        <v>2.8</v>
      </c>
      <c r="T506" s="30">
        <v>1.5</v>
      </c>
      <c r="U506" s="32">
        <v>4</v>
      </c>
      <c r="V506" s="35">
        <v>5</v>
      </c>
      <c r="Y506" s="31" t="s">
        <v>203</v>
      </c>
      <c r="Z506" s="30">
        <v>-39.4</v>
      </c>
      <c r="AA506" s="30">
        <v>-37</v>
      </c>
      <c r="AB506" s="30">
        <v>-28</v>
      </c>
      <c r="AC506" s="30">
        <v>-14.5</v>
      </c>
      <c r="AD506" s="30">
        <v>0.4</v>
      </c>
      <c r="AE506" s="30">
        <v>11.5</v>
      </c>
      <c r="AF506" s="30">
        <v>13.7</v>
      </c>
      <c r="AG506" s="30">
        <v>10.5</v>
      </c>
      <c r="AH506" s="30">
        <v>2.9</v>
      </c>
      <c r="AI506" s="30">
        <v>-12.4</v>
      </c>
      <c r="AJ506" s="30">
        <v>-29.6</v>
      </c>
      <c r="AK506" s="30">
        <v>-37</v>
      </c>
      <c r="AL506" s="30">
        <v>-13.2</v>
      </c>
    </row>
    <row r="507" spans="1:38" x14ac:dyDescent="0.25">
      <c r="A507" s="31" t="s">
        <v>202</v>
      </c>
      <c r="B507" s="30">
        <v>-62</v>
      </c>
      <c r="C507" s="30">
        <v>-60</v>
      </c>
      <c r="D507" s="30">
        <v>-61</v>
      </c>
      <c r="E507" s="30">
        <v>-58</v>
      </c>
      <c r="F507" s="30">
        <v>-51</v>
      </c>
      <c r="G507" s="30">
        <v>-65</v>
      </c>
      <c r="H507" s="30">
        <v>7</v>
      </c>
      <c r="I507" s="30">
        <v>234</v>
      </c>
      <c r="J507" s="30">
        <v>-28.5</v>
      </c>
      <c r="K507" s="30">
        <v>281</v>
      </c>
      <c r="L507" s="30">
        <v>-23</v>
      </c>
      <c r="M507" s="30">
        <v>294</v>
      </c>
      <c r="N507" s="30">
        <v>-21.6</v>
      </c>
      <c r="O507" s="30">
        <v>74</v>
      </c>
      <c r="P507" s="30">
        <v>74</v>
      </c>
      <c r="Q507" s="30">
        <v>31</v>
      </c>
      <c r="R507" s="30" t="s">
        <v>155</v>
      </c>
      <c r="S507" s="30" t="s">
        <v>41</v>
      </c>
      <c r="T507" s="30">
        <v>1.1000000000000001</v>
      </c>
      <c r="U507" s="32">
        <v>4</v>
      </c>
      <c r="V507" s="35">
        <v>5</v>
      </c>
      <c r="Y507" s="31" t="s">
        <v>202</v>
      </c>
      <c r="Z507" s="30">
        <v>-45.9</v>
      </c>
      <c r="AA507" s="30">
        <v>-41.8</v>
      </c>
      <c r="AB507" s="30">
        <v>-29.2</v>
      </c>
      <c r="AC507" s="30">
        <v>-13.1</v>
      </c>
      <c r="AD507" s="30">
        <v>2.2000000000000002</v>
      </c>
      <c r="AE507" s="30">
        <v>12.5</v>
      </c>
      <c r="AF507" s="30">
        <v>14.6</v>
      </c>
      <c r="AG507" s="30">
        <v>10.5</v>
      </c>
      <c r="AH507" s="30">
        <v>2.1</v>
      </c>
      <c r="AI507" s="30">
        <v>-13.9</v>
      </c>
      <c r="AJ507" s="30">
        <v>-35.5</v>
      </c>
      <c r="AK507" s="30">
        <v>-43.2</v>
      </c>
      <c r="AL507" s="30">
        <v>-15.1</v>
      </c>
    </row>
    <row r="508" spans="1:38" x14ac:dyDescent="0.25">
      <c r="A508" s="31" t="s">
        <v>950</v>
      </c>
      <c r="B508" s="30">
        <v>-58</v>
      </c>
      <c r="C508" s="30">
        <v>-55</v>
      </c>
      <c r="D508" s="30">
        <v>-54</v>
      </c>
      <c r="E508" s="30">
        <v>-52</v>
      </c>
      <c r="F508" s="30">
        <v>-42</v>
      </c>
      <c r="G508" s="30">
        <v>-60</v>
      </c>
      <c r="H508" s="30">
        <v>5.9</v>
      </c>
      <c r="I508" s="30">
        <v>229</v>
      </c>
      <c r="J508" s="30">
        <v>-24.8</v>
      </c>
      <c r="K508" s="30">
        <v>275</v>
      </c>
      <c r="L508" s="30">
        <v>-20</v>
      </c>
      <c r="M508" s="30">
        <v>288</v>
      </c>
      <c r="N508" s="30">
        <v>-18.7</v>
      </c>
      <c r="O508" s="30">
        <v>74</v>
      </c>
      <c r="P508" s="30">
        <v>74</v>
      </c>
      <c r="Q508" s="30">
        <v>61</v>
      </c>
      <c r="R508" s="30" t="s">
        <v>150</v>
      </c>
      <c r="S508" s="30">
        <v>4.0999999999999996</v>
      </c>
      <c r="T508" s="30">
        <v>3.7</v>
      </c>
      <c r="U508" s="32">
        <v>4</v>
      </c>
      <c r="V508" s="35">
        <v>5</v>
      </c>
      <c r="Y508" s="31" t="s">
        <v>201</v>
      </c>
      <c r="Z508" s="30">
        <v>-38.5</v>
      </c>
      <c r="AA508" s="30">
        <v>-34.4</v>
      </c>
      <c r="AB508" s="30">
        <v>-22.8</v>
      </c>
      <c r="AC508" s="30">
        <v>-10.3</v>
      </c>
      <c r="AD508" s="30">
        <v>1.7</v>
      </c>
      <c r="AE508" s="30">
        <v>12.2</v>
      </c>
      <c r="AF508" s="30">
        <v>16.2</v>
      </c>
      <c r="AG508" s="30">
        <v>12</v>
      </c>
      <c r="AH508" s="30">
        <v>3.5</v>
      </c>
      <c r="AI508" s="30">
        <v>-10.7</v>
      </c>
      <c r="AJ508" s="30">
        <v>-29.4</v>
      </c>
      <c r="AK508" s="30">
        <v>-36.4</v>
      </c>
      <c r="AL508" s="30">
        <v>-11.4</v>
      </c>
    </row>
    <row r="509" spans="1:38" x14ac:dyDescent="0.25">
      <c r="A509" s="31" t="s">
        <v>951</v>
      </c>
      <c r="B509" s="30">
        <v>-54</v>
      </c>
      <c r="C509" s="30">
        <v>-53</v>
      </c>
      <c r="D509" s="30">
        <v>-51</v>
      </c>
      <c r="E509" s="30">
        <v>-50</v>
      </c>
      <c r="F509" s="30">
        <v>-40</v>
      </c>
      <c r="G509" s="30">
        <v>-59</v>
      </c>
      <c r="H509" s="30">
        <v>6.3</v>
      </c>
      <c r="I509" s="30">
        <v>225</v>
      </c>
      <c r="J509" s="30">
        <v>-24.8</v>
      </c>
      <c r="K509" s="30">
        <v>265</v>
      </c>
      <c r="L509" s="30">
        <v>-20.399999999999999</v>
      </c>
      <c r="M509" s="30">
        <v>280</v>
      </c>
      <c r="N509" s="30">
        <v>-18.8</v>
      </c>
      <c r="O509" s="30">
        <v>77</v>
      </c>
      <c r="P509" s="30">
        <v>77</v>
      </c>
      <c r="Q509" s="30">
        <v>70</v>
      </c>
      <c r="R509" s="30" t="s">
        <v>165</v>
      </c>
      <c r="S509" s="30">
        <v>3.1</v>
      </c>
      <c r="T509" s="30">
        <v>2</v>
      </c>
      <c r="U509" s="32">
        <v>4</v>
      </c>
      <c r="V509" s="35">
        <v>5</v>
      </c>
      <c r="Y509" s="31" t="s">
        <v>200</v>
      </c>
      <c r="Z509" s="30">
        <v>-36.299999999999997</v>
      </c>
      <c r="AA509" s="30">
        <v>-33.4</v>
      </c>
      <c r="AB509" s="30">
        <v>-24.9</v>
      </c>
      <c r="AC509" s="30">
        <v>-11.7</v>
      </c>
      <c r="AD509" s="30">
        <v>3.6</v>
      </c>
      <c r="AE509" s="30">
        <v>13.4</v>
      </c>
      <c r="AF509" s="30">
        <v>16</v>
      </c>
      <c r="AG509" s="30">
        <v>12</v>
      </c>
      <c r="AH509" s="30">
        <v>4.2</v>
      </c>
      <c r="AI509" s="30">
        <v>-10.5</v>
      </c>
      <c r="AJ509" s="30">
        <v>-27.3</v>
      </c>
      <c r="AK509" s="30">
        <v>-35.200000000000003</v>
      </c>
      <c r="AL509" s="30">
        <v>-10.9</v>
      </c>
    </row>
    <row r="510" spans="1:38" x14ac:dyDescent="0.25">
      <c r="A510" s="31" t="s">
        <v>952</v>
      </c>
      <c r="B510" s="30">
        <v>-53</v>
      </c>
      <c r="C510" s="30">
        <v>-51</v>
      </c>
      <c r="D510" s="30">
        <v>-51</v>
      </c>
      <c r="E510" s="30">
        <v>-49</v>
      </c>
      <c r="F510" s="30">
        <v>-39</v>
      </c>
      <c r="G510" s="30">
        <v>-54</v>
      </c>
      <c r="H510" s="30">
        <v>7.1</v>
      </c>
      <c r="I510" s="30">
        <v>207</v>
      </c>
      <c r="J510" s="30">
        <v>-23</v>
      </c>
      <c r="K510" s="30">
        <v>255</v>
      </c>
      <c r="L510" s="30">
        <v>-17.899999999999999</v>
      </c>
      <c r="M510" s="30">
        <v>269</v>
      </c>
      <c r="N510" s="30">
        <v>-16.5</v>
      </c>
      <c r="O510" s="30">
        <v>75</v>
      </c>
      <c r="P510" s="30">
        <v>75</v>
      </c>
      <c r="Q510" s="30">
        <v>54</v>
      </c>
      <c r="R510" s="30" t="s">
        <v>142</v>
      </c>
      <c r="S510" s="30">
        <v>4.7</v>
      </c>
      <c r="T510" s="30">
        <v>2.2999999999999998</v>
      </c>
      <c r="U510" s="32">
        <v>4</v>
      </c>
      <c r="V510" s="35">
        <v>5</v>
      </c>
      <c r="Y510" s="31" t="s">
        <v>199</v>
      </c>
      <c r="Z510" s="30">
        <v>-35</v>
      </c>
      <c r="AA510" s="30">
        <v>-31.3</v>
      </c>
      <c r="AB510" s="30">
        <v>-19.600000000000001</v>
      </c>
      <c r="AC510" s="30">
        <v>-5.0999999999999996</v>
      </c>
      <c r="AD510" s="30">
        <v>6.3</v>
      </c>
      <c r="AE510" s="30">
        <v>14.6</v>
      </c>
      <c r="AF510" s="30">
        <v>17.8</v>
      </c>
      <c r="AG510" s="30">
        <v>14.4</v>
      </c>
      <c r="AH510" s="30">
        <v>6.3</v>
      </c>
      <c r="AI510" s="30">
        <v>-5.5</v>
      </c>
      <c r="AJ510" s="30">
        <v>-23.5</v>
      </c>
      <c r="AK510" s="30">
        <v>-32.9</v>
      </c>
      <c r="AL510" s="30">
        <v>-7.8</v>
      </c>
    </row>
    <row r="511" spans="1:38" x14ac:dyDescent="0.25">
      <c r="A511" s="31" t="s">
        <v>198</v>
      </c>
      <c r="B511" s="30">
        <v>-61</v>
      </c>
      <c r="C511" s="30">
        <v>-60</v>
      </c>
      <c r="D511" s="30">
        <v>-59</v>
      </c>
      <c r="E511" s="30">
        <v>-57</v>
      </c>
      <c r="F511" s="30">
        <v>-51</v>
      </c>
      <c r="G511" s="30">
        <v>-63</v>
      </c>
      <c r="H511" s="30">
        <v>7.4</v>
      </c>
      <c r="I511" s="30">
        <v>242</v>
      </c>
      <c r="J511" s="30">
        <v>-28.6</v>
      </c>
      <c r="K511" s="30">
        <v>292</v>
      </c>
      <c r="L511" s="30">
        <v>-22.9</v>
      </c>
      <c r="M511" s="30">
        <v>311</v>
      </c>
      <c r="N511" s="30">
        <v>-21</v>
      </c>
      <c r="O511" s="30">
        <v>73</v>
      </c>
      <c r="P511" s="30">
        <v>73</v>
      </c>
      <c r="Q511" s="30">
        <v>38</v>
      </c>
      <c r="R511" s="30" t="s">
        <v>140</v>
      </c>
      <c r="S511" s="30" t="s">
        <v>41</v>
      </c>
      <c r="T511" s="30">
        <v>1.2</v>
      </c>
      <c r="U511" s="32">
        <v>4</v>
      </c>
      <c r="V511" s="35">
        <v>5</v>
      </c>
      <c r="Y511" s="31" t="s">
        <v>198</v>
      </c>
      <c r="Z511" s="30">
        <v>-45.5</v>
      </c>
      <c r="AA511" s="30">
        <v>-42.3</v>
      </c>
      <c r="AB511" s="30">
        <v>-31.8</v>
      </c>
      <c r="AC511" s="30">
        <v>-16.600000000000001</v>
      </c>
      <c r="AD511" s="30">
        <v>-1</v>
      </c>
      <c r="AE511" s="30">
        <v>8.9</v>
      </c>
      <c r="AF511" s="30">
        <v>12.7</v>
      </c>
      <c r="AG511" s="30">
        <v>10.3</v>
      </c>
      <c r="AH511" s="30">
        <v>2</v>
      </c>
      <c r="AI511" s="30">
        <v>-14.8</v>
      </c>
      <c r="AJ511" s="30">
        <v>-35.4</v>
      </c>
      <c r="AK511" s="30">
        <v>-42.7</v>
      </c>
      <c r="AL511" s="30">
        <v>-16.399999999999999</v>
      </c>
    </row>
    <row r="512" spans="1:38" x14ac:dyDescent="0.25">
      <c r="A512" s="31" t="s">
        <v>953</v>
      </c>
      <c r="B512" s="30">
        <v>-58</v>
      </c>
      <c r="C512" s="30">
        <v>-57</v>
      </c>
      <c r="D512" s="30">
        <v>-56</v>
      </c>
      <c r="E512" s="30">
        <v>-54</v>
      </c>
      <c r="F512" s="30">
        <v>-48</v>
      </c>
      <c r="G512" s="30">
        <v>-62</v>
      </c>
      <c r="H512" s="30">
        <v>6.9</v>
      </c>
      <c r="I512" s="30">
        <v>211</v>
      </c>
      <c r="J512" s="30">
        <v>-28.3</v>
      </c>
      <c r="K512" s="30">
        <v>254</v>
      </c>
      <c r="L512" s="30">
        <v>-22.7</v>
      </c>
      <c r="M512" s="30">
        <v>267</v>
      </c>
      <c r="N512" s="30">
        <v>-21.2</v>
      </c>
      <c r="O512" s="30">
        <v>72</v>
      </c>
      <c r="P512" s="30">
        <v>72</v>
      </c>
      <c r="Q512" s="30">
        <v>37</v>
      </c>
      <c r="R512" s="30" t="s">
        <v>142</v>
      </c>
      <c r="S512" s="30">
        <v>1.4</v>
      </c>
      <c r="T512" s="30">
        <v>0.7</v>
      </c>
      <c r="U512" s="32">
        <v>4</v>
      </c>
      <c r="V512" s="35">
        <v>5</v>
      </c>
      <c r="Y512" s="31" t="s">
        <v>197</v>
      </c>
      <c r="Z512" s="30">
        <v>-43.8</v>
      </c>
      <c r="AA512" s="30">
        <v>-38.200000000000003</v>
      </c>
      <c r="AB512" s="30">
        <v>-22.2</v>
      </c>
      <c r="AC512" s="30">
        <v>-5.6</v>
      </c>
      <c r="AD512" s="30">
        <v>7</v>
      </c>
      <c r="AE512" s="30">
        <v>15.7</v>
      </c>
      <c r="AF512" s="30">
        <v>18.600000000000001</v>
      </c>
      <c r="AG512" s="30">
        <v>14.2</v>
      </c>
      <c r="AH512" s="30">
        <v>5.7</v>
      </c>
      <c r="AI512" s="30">
        <v>-9.1</v>
      </c>
      <c r="AJ512" s="30">
        <v>-31</v>
      </c>
      <c r="AK512" s="30">
        <v>-41.8</v>
      </c>
      <c r="AL512" s="30">
        <v>-10.9</v>
      </c>
    </row>
    <row r="513" spans="1:38" x14ac:dyDescent="0.25">
      <c r="A513" s="31" t="s">
        <v>954</v>
      </c>
      <c r="B513" s="30">
        <v>-58</v>
      </c>
      <c r="C513" s="30">
        <v>-56</v>
      </c>
      <c r="D513" s="30">
        <v>-56</v>
      </c>
      <c r="E513" s="30">
        <v>-54</v>
      </c>
      <c r="F513" s="30">
        <v>-41</v>
      </c>
      <c r="G513" s="30">
        <v>-62</v>
      </c>
      <c r="H513" s="30">
        <v>8</v>
      </c>
      <c r="I513" s="30">
        <v>244</v>
      </c>
      <c r="J513" s="30">
        <v>-24.6</v>
      </c>
      <c r="K513" s="30">
        <v>295</v>
      </c>
      <c r="L513" s="30">
        <v>-19.7</v>
      </c>
      <c r="M513" s="30">
        <v>312</v>
      </c>
      <c r="N513" s="30">
        <v>-18.100000000000001</v>
      </c>
      <c r="O513" s="30">
        <v>74</v>
      </c>
      <c r="P513" s="30">
        <v>74</v>
      </c>
      <c r="Q513" s="30">
        <v>84</v>
      </c>
      <c r="R513" s="30" t="s">
        <v>155</v>
      </c>
      <c r="S513" s="30">
        <v>4.2</v>
      </c>
      <c r="T513" s="30">
        <v>3</v>
      </c>
      <c r="U513" s="32">
        <v>4</v>
      </c>
      <c r="V513" s="35">
        <v>5</v>
      </c>
      <c r="Y513" s="31" t="s">
        <v>196</v>
      </c>
      <c r="Z513" s="30">
        <v>-37.700000000000003</v>
      </c>
      <c r="AA513" s="30">
        <v>-34.6</v>
      </c>
      <c r="AB513" s="30">
        <v>-26.3</v>
      </c>
      <c r="AC513" s="30">
        <v>-15</v>
      </c>
      <c r="AD513" s="30">
        <v>-3</v>
      </c>
      <c r="AE513" s="30">
        <v>8</v>
      </c>
      <c r="AF513" s="30">
        <v>12.6</v>
      </c>
      <c r="AG513" s="30">
        <v>9.5</v>
      </c>
      <c r="AH513" s="30">
        <v>2</v>
      </c>
      <c r="AI513" s="30">
        <v>-12</v>
      </c>
      <c r="AJ513" s="30">
        <v>-29.8</v>
      </c>
      <c r="AK513" s="30">
        <v>-35.200000000000003</v>
      </c>
      <c r="AL513" s="30">
        <v>-13.5</v>
      </c>
    </row>
    <row r="514" spans="1:38" x14ac:dyDescent="0.25">
      <c r="A514" s="31" t="s">
        <v>955</v>
      </c>
      <c r="B514" s="30">
        <v>-55</v>
      </c>
      <c r="C514" s="30">
        <v>-52</v>
      </c>
      <c r="D514" s="30">
        <v>-52</v>
      </c>
      <c r="E514" s="30">
        <v>-50</v>
      </c>
      <c r="F514" s="30">
        <v>-33</v>
      </c>
      <c r="G514" s="30">
        <v>-57</v>
      </c>
      <c r="H514" s="30">
        <v>8.4</v>
      </c>
      <c r="I514" s="30">
        <v>207</v>
      </c>
      <c r="J514" s="30">
        <v>-18.8</v>
      </c>
      <c r="K514" s="30">
        <v>258</v>
      </c>
      <c r="L514" s="30">
        <v>-14.3</v>
      </c>
      <c r="M514" s="30">
        <v>270</v>
      </c>
      <c r="N514" s="30">
        <v>-13.3</v>
      </c>
      <c r="O514" s="30">
        <v>76</v>
      </c>
      <c r="P514" s="30">
        <v>75</v>
      </c>
      <c r="Q514" s="30">
        <v>93</v>
      </c>
      <c r="R514" s="30" t="s">
        <v>142</v>
      </c>
      <c r="S514" s="30">
        <v>3.2</v>
      </c>
      <c r="T514" s="30">
        <v>2.6</v>
      </c>
      <c r="U514" s="32">
        <v>4</v>
      </c>
      <c r="V514" s="35">
        <v>5</v>
      </c>
      <c r="Y514" s="31" t="s">
        <v>195</v>
      </c>
      <c r="Z514" s="30">
        <v>-29</v>
      </c>
      <c r="AA514" s="30">
        <v>-25.6</v>
      </c>
      <c r="AB514" s="30">
        <v>-14.9</v>
      </c>
      <c r="AC514" s="30">
        <v>-3.6</v>
      </c>
      <c r="AD514" s="30">
        <v>6.2</v>
      </c>
      <c r="AE514" s="30">
        <v>14.6</v>
      </c>
      <c r="AF514" s="30">
        <v>17.600000000000001</v>
      </c>
      <c r="AG514" s="30">
        <v>13.9</v>
      </c>
      <c r="AH514" s="30">
        <v>5.7</v>
      </c>
      <c r="AI514" s="30">
        <v>-4.9000000000000004</v>
      </c>
      <c r="AJ514" s="30">
        <v>-19.5</v>
      </c>
      <c r="AK514" s="30">
        <v>-27.7</v>
      </c>
      <c r="AL514" s="30">
        <v>-5.6</v>
      </c>
    </row>
    <row r="515" spans="1:38" x14ac:dyDescent="0.25">
      <c r="A515" s="31" t="s">
        <v>956</v>
      </c>
      <c r="B515" s="30">
        <v>-47</v>
      </c>
      <c r="C515" s="30">
        <v>-45</v>
      </c>
      <c r="D515" s="30">
        <v>-43</v>
      </c>
      <c r="E515" s="30">
        <v>-40</v>
      </c>
      <c r="F515" s="30">
        <v>-33</v>
      </c>
      <c r="G515" s="30">
        <v>-57</v>
      </c>
      <c r="H515" s="30">
        <v>9.3000000000000007</v>
      </c>
      <c r="I515" s="30">
        <v>219</v>
      </c>
      <c r="J515" s="30">
        <v>-19.2</v>
      </c>
      <c r="K515" s="30">
        <v>270</v>
      </c>
      <c r="L515" s="30">
        <v>-14.8</v>
      </c>
      <c r="M515" s="30">
        <v>285</v>
      </c>
      <c r="N515" s="30">
        <v>-13.5</v>
      </c>
      <c r="O515" s="30">
        <v>75</v>
      </c>
      <c r="P515" s="30">
        <v>73</v>
      </c>
      <c r="Q515" s="30">
        <v>42</v>
      </c>
      <c r="R515" s="30" t="s">
        <v>165</v>
      </c>
      <c r="S515" s="30">
        <v>4.7</v>
      </c>
      <c r="T515" s="30">
        <v>2.7</v>
      </c>
      <c r="U515" s="32">
        <v>4</v>
      </c>
      <c r="V515" s="35">
        <v>5</v>
      </c>
      <c r="Y515" s="31" t="s">
        <v>194</v>
      </c>
      <c r="Z515" s="30">
        <v>-29.1</v>
      </c>
      <c r="AA515" s="30">
        <v>-25.6</v>
      </c>
      <c r="AB515" s="30">
        <v>-17</v>
      </c>
      <c r="AC515" s="30">
        <v>-5.9</v>
      </c>
      <c r="AD515" s="30">
        <v>4.0999999999999996</v>
      </c>
      <c r="AE515" s="30">
        <v>12.1</v>
      </c>
      <c r="AF515" s="30">
        <v>14.8</v>
      </c>
      <c r="AG515" s="30">
        <v>11.8</v>
      </c>
      <c r="AH515" s="30">
        <v>4</v>
      </c>
      <c r="AI515" s="30">
        <v>-7.7</v>
      </c>
      <c r="AJ515" s="30">
        <v>-21.7</v>
      </c>
      <c r="AK515" s="30">
        <v>-28.2</v>
      </c>
      <c r="AL515" s="30">
        <v>-7.4</v>
      </c>
    </row>
    <row r="516" spans="1:38" x14ac:dyDescent="0.25">
      <c r="A516" s="31" t="s">
        <v>193</v>
      </c>
      <c r="B516" s="30">
        <v>-62</v>
      </c>
      <c r="C516" s="30">
        <v>-60</v>
      </c>
      <c r="D516" s="30">
        <v>-60</v>
      </c>
      <c r="E516" s="30">
        <v>-58</v>
      </c>
      <c r="F516" s="30">
        <v>-51</v>
      </c>
      <c r="G516" s="30">
        <v>-62</v>
      </c>
      <c r="H516" s="30">
        <v>5.2</v>
      </c>
      <c r="I516" s="30">
        <v>229</v>
      </c>
      <c r="J516" s="30">
        <v>-29.1</v>
      </c>
      <c r="K516" s="30">
        <v>272</v>
      </c>
      <c r="L516" s="30">
        <v>-23.8</v>
      </c>
      <c r="M516" s="30">
        <v>286</v>
      </c>
      <c r="N516" s="30">
        <v>-22.2</v>
      </c>
      <c r="O516" s="30">
        <v>71</v>
      </c>
      <c r="P516" s="30">
        <v>70</v>
      </c>
      <c r="Q516" s="30">
        <v>2</v>
      </c>
      <c r="R516" s="30" t="s">
        <v>155</v>
      </c>
      <c r="S516" s="30" t="s">
        <v>41</v>
      </c>
      <c r="T516" s="30">
        <v>1.8</v>
      </c>
      <c r="U516" s="32">
        <v>4</v>
      </c>
      <c r="V516" s="35">
        <v>5</v>
      </c>
      <c r="Y516" s="31" t="s">
        <v>193</v>
      </c>
      <c r="Z516" s="30">
        <v>-46.3</v>
      </c>
      <c r="AA516" s="30">
        <v>-41.6</v>
      </c>
      <c r="AB516" s="30">
        <v>-29.1</v>
      </c>
      <c r="AC516" s="30">
        <v>-11.3</v>
      </c>
      <c r="AD516" s="30">
        <v>3.8</v>
      </c>
      <c r="AE516" s="30">
        <v>13.2</v>
      </c>
      <c r="AF516" s="30">
        <v>15.7</v>
      </c>
      <c r="AG516" s="30">
        <v>12.1</v>
      </c>
      <c r="AH516" s="30">
        <v>3.4</v>
      </c>
      <c r="AI516" s="30">
        <v>-14.7</v>
      </c>
      <c r="AJ516" s="30">
        <v>-35.9</v>
      </c>
      <c r="AK516" s="30">
        <v>-44.4</v>
      </c>
      <c r="AL516" s="30">
        <v>-14.6</v>
      </c>
    </row>
    <row r="517" spans="1:38" x14ac:dyDescent="0.25">
      <c r="A517" s="31" t="s">
        <v>192</v>
      </c>
      <c r="B517" s="30">
        <v>-58</v>
      </c>
      <c r="C517" s="30">
        <v>-56</v>
      </c>
      <c r="D517" s="30">
        <v>-53</v>
      </c>
      <c r="E517" s="30">
        <v>-52</v>
      </c>
      <c r="F517" s="30">
        <v>-41</v>
      </c>
      <c r="G517" s="30">
        <v>-62</v>
      </c>
      <c r="H517" s="30">
        <v>10.199999999999999</v>
      </c>
      <c r="I517" s="30">
        <v>217</v>
      </c>
      <c r="J517" s="30">
        <v>-22.3</v>
      </c>
      <c r="K517" s="30">
        <v>263</v>
      </c>
      <c r="L517" s="30">
        <v>-17.7</v>
      </c>
      <c r="M517" s="30">
        <v>277</v>
      </c>
      <c r="N517" s="30">
        <v>-16.3</v>
      </c>
      <c r="O517" s="30">
        <v>75</v>
      </c>
      <c r="P517" s="30">
        <v>75</v>
      </c>
      <c r="Q517" s="30">
        <v>61</v>
      </c>
      <c r="R517" s="30" t="s">
        <v>155</v>
      </c>
      <c r="S517" s="30">
        <v>3.3</v>
      </c>
      <c r="T517" s="30">
        <v>2.2000000000000002</v>
      </c>
      <c r="U517" s="32">
        <v>4</v>
      </c>
      <c r="V517" s="35">
        <v>5</v>
      </c>
      <c r="Y517" s="31" t="s">
        <v>192</v>
      </c>
      <c r="Z517" s="30">
        <v>-36</v>
      </c>
      <c r="AA517" s="30">
        <v>-31.9</v>
      </c>
      <c r="AB517" s="30">
        <v>-20.6</v>
      </c>
      <c r="AC517" s="30">
        <v>-7.2</v>
      </c>
      <c r="AD517" s="30">
        <v>5</v>
      </c>
      <c r="AE517" s="30">
        <v>14.2</v>
      </c>
      <c r="AF517" s="30">
        <v>17.3</v>
      </c>
      <c r="AG517" s="30">
        <v>13.5</v>
      </c>
      <c r="AH517" s="30">
        <v>5.2</v>
      </c>
      <c r="AI517" s="30">
        <v>-7.3</v>
      </c>
      <c r="AJ517" s="30">
        <v>-26</v>
      </c>
      <c r="AK517" s="30">
        <v>-34.200000000000003</v>
      </c>
      <c r="AL517" s="30">
        <v>-9</v>
      </c>
    </row>
    <row r="518" spans="1:38" x14ac:dyDescent="0.25">
      <c r="A518" s="31" t="s">
        <v>191</v>
      </c>
      <c r="B518" s="30">
        <v>-56</v>
      </c>
      <c r="C518" s="30">
        <v>-53</v>
      </c>
      <c r="D518" s="30">
        <v>-52</v>
      </c>
      <c r="E518" s="30">
        <v>-50</v>
      </c>
      <c r="F518" s="30">
        <v>-35</v>
      </c>
      <c r="G518" s="30">
        <v>-61</v>
      </c>
      <c r="H518" s="30">
        <v>9.3000000000000007</v>
      </c>
      <c r="I518" s="30">
        <v>203</v>
      </c>
      <c r="J518" s="30">
        <v>-18.8</v>
      </c>
      <c r="K518" s="30">
        <v>253</v>
      </c>
      <c r="L518" s="30">
        <v>-14.2</v>
      </c>
      <c r="M518" s="30">
        <v>268</v>
      </c>
      <c r="N518" s="30">
        <v>-12.9</v>
      </c>
      <c r="O518" s="30">
        <v>73</v>
      </c>
      <c r="P518" s="30">
        <v>73</v>
      </c>
      <c r="Q518" s="30">
        <v>61</v>
      </c>
      <c r="R518" s="30" t="s">
        <v>142</v>
      </c>
      <c r="S518" s="30">
        <v>5.3</v>
      </c>
      <c r="T518" s="30">
        <v>2.4</v>
      </c>
      <c r="U518" s="32">
        <v>4</v>
      </c>
      <c r="V518" s="35">
        <v>5</v>
      </c>
      <c r="Y518" s="31" t="s">
        <v>191</v>
      </c>
      <c r="Z518" s="30">
        <v>-30</v>
      </c>
      <c r="AA518" s="30">
        <v>-26.8</v>
      </c>
      <c r="AB518" s="30">
        <v>-15.9</v>
      </c>
      <c r="AC518" s="30">
        <v>-3.5</v>
      </c>
      <c r="AD518" s="30">
        <v>6.3</v>
      </c>
      <c r="AE518" s="30">
        <v>14.9</v>
      </c>
      <c r="AF518" s="30">
        <v>18.100000000000001</v>
      </c>
      <c r="AG518" s="30">
        <v>14.5</v>
      </c>
      <c r="AH518" s="30">
        <v>6.8</v>
      </c>
      <c r="AI518" s="30">
        <v>-3.5</v>
      </c>
      <c r="AJ518" s="30">
        <v>-20.100000000000001</v>
      </c>
      <c r="AK518" s="30">
        <v>-28.6</v>
      </c>
      <c r="AL518" s="30">
        <v>-5.7</v>
      </c>
    </row>
    <row r="519" spans="1:38" x14ac:dyDescent="0.25">
      <c r="A519" s="31" t="s">
        <v>957</v>
      </c>
      <c r="B519" s="30">
        <v>-63</v>
      </c>
      <c r="C519" s="30">
        <v>-61</v>
      </c>
      <c r="D519" s="30">
        <v>-60</v>
      </c>
      <c r="E519" s="30">
        <v>-59</v>
      </c>
      <c r="F519" s="30">
        <v>-51</v>
      </c>
      <c r="G519" s="30">
        <v>-68</v>
      </c>
      <c r="H519" s="30">
        <v>7.3</v>
      </c>
      <c r="I519" s="30">
        <v>231</v>
      </c>
      <c r="J519" s="30">
        <v>-31.3</v>
      </c>
      <c r="K519" s="30">
        <v>277</v>
      </c>
      <c r="L519" s="30">
        <v>-25.4</v>
      </c>
      <c r="M519" s="30">
        <v>292</v>
      </c>
      <c r="N519" s="30">
        <v>-23.6</v>
      </c>
      <c r="O519" s="30">
        <v>74</v>
      </c>
      <c r="P519" s="30">
        <v>75</v>
      </c>
      <c r="Q519" s="30">
        <v>37</v>
      </c>
      <c r="R519" s="30" t="s">
        <v>142</v>
      </c>
      <c r="S519" s="30">
        <v>1.4</v>
      </c>
      <c r="T519" s="30">
        <v>0.9</v>
      </c>
      <c r="U519" s="32">
        <v>4</v>
      </c>
      <c r="V519" s="35">
        <v>5</v>
      </c>
      <c r="Y519" s="31" t="s">
        <v>190</v>
      </c>
      <c r="Z519" s="30">
        <v>-46.6</v>
      </c>
      <c r="AA519" s="30">
        <v>-42.7</v>
      </c>
      <c r="AB519" s="30">
        <v>-31.7</v>
      </c>
      <c r="AC519" s="30">
        <v>-13.8</v>
      </c>
      <c r="AD519" s="30">
        <v>2.6</v>
      </c>
      <c r="AE519" s="30">
        <v>12.2</v>
      </c>
      <c r="AF519" s="30">
        <v>14.5</v>
      </c>
      <c r="AG519" s="30">
        <v>10.3</v>
      </c>
      <c r="AH519" s="30">
        <v>2.1</v>
      </c>
      <c r="AI519" s="30">
        <v>-15.2</v>
      </c>
      <c r="AJ519" s="30">
        <v>-36.200000000000003</v>
      </c>
      <c r="AK519" s="30">
        <v>-45.7</v>
      </c>
      <c r="AL519" s="30">
        <v>-15.9</v>
      </c>
    </row>
    <row r="520" spans="1:38" x14ac:dyDescent="0.25">
      <c r="A520" s="31" t="s">
        <v>958</v>
      </c>
      <c r="B520" s="30">
        <v>-55</v>
      </c>
      <c r="C520" s="30">
        <v>-53</v>
      </c>
      <c r="D520" s="30">
        <v>-53</v>
      </c>
      <c r="E520" s="30">
        <v>-49</v>
      </c>
      <c r="F520" s="30">
        <v>-35</v>
      </c>
      <c r="G520" s="30">
        <v>-60</v>
      </c>
      <c r="H520" s="30">
        <v>7.9</v>
      </c>
      <c r="I520" s="30">
        <v>204</v>
      </c>
      <c r="J520" s="30">
        <v>-20.399999999999999</v>
      </c>
      <c r="K520" s="30">
        <v>253</v>
      </c>
      <c r="L520" s="30">
        <v>-15.7</v>
      </c>
      <c r="M520" s="30">
        <v>267</v>
      </c>
      <c r="N520" s="30">
        <v>-14.4</v>
      </c>
      <c r="O520" s="30">
        <v>79</v>
      </c>
      <c r="P520" s="30">
        <v>78</v>
      </c>
      <c r="Q520" s="30">
        <v>72</v>
      </c>
      <c r="R520" s="30" t="s">
        <v>142</v>
      </c>
      <c r="S520" s="30">
        <v>2.7</v>
      </c>
      <c r="T520" s="30">
        <v>2.4</v>
      </c>
      <c r="U520" s="32">
        <v>4</v>
      </c>
      <c r="V520" s="35">
        <v>5</v>
      </c>
      <c r="Y520" s="31" t="s">
        <v>189</v>
      </c>
      <c r="Z520" s="30">
        <v>-31.4</v>
      </c>
      <c r="AA520" s="30">
        <v>-27.3</v>
      </c>
      <c r="AB520" s="30">
        <v>-15.5</v>
      </c>
      <c r="AC520" s="30">
        <v>-3.3</v>
      </c>
      <c r="AD520" s="30">
        <v>7</v>
      </c>
      <c r="AE520" s="30">
        <v>15.1</v>
      </c>
      <c r="AF520" s="30">
        <v>18.100000000000001</v>
      </c>
      <c r="AG520" s="30">
        <v>14.5</v>
      </c>
      <c r="AH520" s="30">
        <v>6.1</v>
      </c>
      <c r="AI520" s="30">
        <v>-5.2</v>
      </c>
      <c r="AJ520" s="30">
        <v>-21.2</v>
      </c>
      <c r="AK520" s="30">
        <v>-29.7</v>
      </c>
      <c r="AL520" s="30">
        <v>-6.1</v>
      </c>
    </row>
    <row r="521" spans="1:38" x14ac:dyDescent="0.25">
      <c r="A521" s="31" t="s">
        <v>959</v>
      </c>
      <c r="B521" s="30">
        <v>-59</v>
      </c>
      <c r="C521" s="30">
        <v>-58</v>
      </c>
      <c r="D521" s="30">
        <v>-57</v>
      </c>
      <c r="E521" s="30">
        <v>-55</v>
      </c>
      <c r="F521" s="30">
        <v>-44</v>
      </c>
      <c r="G521" s="30">
        <v>-63</v>
      </c>
      <c r="H521" s="30">
        <v>7.4</v>
      </c>
      <c r="I521" s="30">
        <v>240</v>
      </c>
      <c r="J521" s="30">
        <v>-23.4</v>
      </c>
      <c r="K521" s="30">
        <v>287</v>
      </c>
      <c r="L521" s="30">
        <v>-18.899999999999999</v>
      </c>
      <c r="M521" s="30">
        <v>300</v>
      </c>
      <c r="N521" s="30">
        <v>-17.7</v>
      </c>
      <c r="O521" s="30">
        <v>78</v>
      </c>
      <c r="P521" s="30">
        <v>78</v>
      </c>
      <c r="Q521" s="30">
        <v>62</v>
      </c>
      <c r="R521" s="30" t="s">
        <v>146</v>
      </c>
      <c r="S521" s="30">
        <v>2.5</v>
      </c>
      <c r="T521" s="30">
        <v>2.4</v>
      </c>
      <c r="U521" s="32">
        <v>4</v>
      </c>
      <c r="V521" s="35">
        <v>5</v>
      </c>
      <c r="Y521" s="31" t="s">
        <v>188</v>
      </c>
      <c r="Z521" s="30">
        <v>-37</v>
      </c>
      <c r="AA521" s="30">
        <v>-33.700000000000003</v>
      </c>
      <c r="AB521" s="30">
        <v>-22.8</v>
      </c>
      <c r="AC521" s="30">
        <v>-11.7</v>
      </c>
      <c r="AD521" s="30">
        <v>-1.2</v>
      </c>
      <c r="AE521" s="30">
        <v>10</v>
      </c>
      <c r="AF521" s="30">
        <v>15</v>
      </c>
      <c r="AG521" s="30">
        <v>10.8</v>
      </c>
      <c r="AH521" s="30">
        <v>2.2999999999999998</v>
      </c>
      <c r="AI521" s="30">
        <v>-11.6</v>
      </c>
      <c r="AJ521" s="30">
        <v>-28.6</v>
      </c>
      <c r="AK521" s="30">
        <v>-33.700000000000003</v>
      </c>
      <c r="AL521" s="30">
        <v>-11.9</v>
      </c>
    </row>
    <row r="522" spans="1:38" x14ac:dyDescent="0.25">
      <c r="A522" s="31" t="s">
        <v>187</v>
      </c>
      <c r="B522" s="30">
        <v>-58</v>
      </c>
      <c r="C522" s="30">
        <v>-57</v>
      </c>
      <c r="D522" s="30">
        <v>-56</v>
      </c>
      <c r="E522" s="30">
        <v>-55</v>
      </c>
      <c r="F522" s="30">
        <v>-49</v>
      </c>
      <c r="G522" s="30">
        <v>-60</v>
      </c>
      <c r="H522" s="30">
        <v>7.9</v>
      </c>
      <c r="I522" s="30">
        <v>218</v>
      </c>
      <c r="J522" s="30">
        <v>-26.7</v>
      </c>
      <c r="K522" s="30">
        <v>260</v>
      </c>
      <c r="L522" s="30">
        <v>-21.7</v>
      </c>
      <c r="M522" s="30">
        <v>274</v>
      </c>
      <c r="N522" s="30">
        <v>-20.100000000000001</v>
      </c>
      <c r="O522" s="30">
        <v>74</v>
      </c>
      <c r="P522" s="30">
        <v>74</v>
      </c>
      <c r="Q522" s="30">
        <v>54</v>
      </c>
      <c r="R522" s="30" t="s">
        <v>150</v>
      </c>
      <c r="S522" s="30">
        <v>1.8</v>
      </c>
      <c r="T522" s="30">
        <v>1.1000000000000001</v>
      </c>
      <c r="U522" s="32">
        <v>4</v>
      </c>
      <c r="V522" s="35">
        <v>5</v>
      </c>
      <c r="Y522" s="31" t="s">
        <v>187</v>
      </c>
      <c r="Z522" s="30">
        <v>-44.2</v>
      </c>
      <c r="AA522" s="30">
        <v>-39.4</v>
      </c>
      <c r="AB522" s="30">
        <v>-24.7</v>
      </c>
      <c r="AC522" s="30">
        <v>-7.8</v>
      </c>
      <c r="AD522" s="30">
        <v>5.7</v>
      </c>
      <c r="AE522" s="30">
        <v>14.2</v>
      </c>
      <c r="AF522" s="30">
        <v>17.399999999999999</v>
      </c>
      <c r="AG522" s="30">
        <v>14</v>
      </c>
      <c r="AH522" s="30">
        <v>5.5</v>
      </c>
      <c r="AI522" s="30">
        <v>-8.6999999999999993</v>
      </c>
      <c r="AJ522" s="30">
        <v>-30.3</v>
      </c>
      <c r="AK522" s="30">
        <v>-41.1</v>
      </c>
      <c r="AL522" s="30">
        <v>-11.6</v>
      </c>
    </row>
    <row r="523" spans="1:38" x14ac:dyDescent="0.25">
      <c r="A523" s="31" t="s">
        <v>186</v>
      </c>
      <c r="B523" s="30">
        <v>-53</v>
      </c>
      <c r="C523" s="30">
        <v>-52</v>
      </c>
      <c r="D523" s="30">
        <v>-51</v>
      </c>
      <c r="E523" s="30">
        <v>-50</v>
      </c>
      <c r="F523" s="30">
        <v>-44</v>
      </c>
      <c r="G523" s="30">
        <v>-61</v>
      </c>
      <c r="H523" s="30">
        <v>6.4</v>
      </c>
      <c r="I523" s="30">
        <v>220</v>
      </c>
      <c r="J523" s="30">
        <v>-24</v>
      </c>
      <c r="K523" s="30">
        <v>261</v>
      </c>
      <c r="L523" s="30">
        <v>-19.600000000000001</v>
      </c>
      <c r="M523" s="30">
        <v>274</v>
      </c>
      <c r="N523" s="30">
        <v>-18.2</v>
      </c>
      <c r="O523" s="30">
        <v>70</v>
      </c>
      <c r="P523" s="30">
        <v>70</v>
      </c>
      <c r="Q523" s="30">
        <v>58</v>
      </c>
      <c r="R523" s="30" t="s">
        <v>146</v>
      </c>
      <c r="S523" s="30">
        <v>7.6</v>
      </c>
      <c r="T523" s="30">
        <v>3.6</v>
      </c>
      <c r="U523" s="32">
        <v>4</v>
      </c>
      <c r="V523" s="35">
        <v>5</v>
      </c>
      <c r="Y523" s="31" t="s">
        <v>186</v>
      </c>
      <c r="Z523" s="30">
        <v>-39.1</v>
      </c>
      <c r="AA523" s="30">
        <v>-34.5</v>
      </c>
      <c r="AB523" s="30">
        <v>-21.6</v>
      </c>
      <c r="AC523" s="30">
        <v>-8.5</v>
      </c>
      <c r="AD523" s="30">
        <v>4.0999999999999996</v>
      </c>
      <c r="AE523" s="30">
        <v>14.3</v>
      </c>
      <c r="AF523" s="30">
        <v>18.100000000000001</v>
      </c>
      <c r="AG523" s="30">
        <v>14.5</v>
      </c>
      <c r="AH523" s="30">
        <v>6</v>
      </c>
      <c r="AI523" s="30">
        <v>-8.6999999999999993</v>
      </c>
      <c r="AJ523" s="30">
        <v>-28.5</v>
      </c>
      <c r="AK523" s="30">
        <v>-37.299999999999997</v>
      </c>
      <c r="AL523" s="30">
        <v>-10.1</v>
      </c>
    </row>
    <row r="524" spans="1:38" x14ac:dyDescent="0.25">
      <c r="A524" s="31" t="s">
        <v>960</v>
      </c>
      <c r="B524" s="30">
        <v>-57</v>
      </c>
      <c r="C524" s="30">
        <v>-54</v>
      </c>
      <c r="D524" s="30">
        <v>-55</v>
      </c>
      <c r="E524" s="30">
        <v>-53</v>
      </c>
      <c r="F524" s="30">
        <v>-38</v>
      </c>
      <c r="G524" s="30">
        <v>-60</v>
      </c>
      <c r="H524" s="30">
        <v>7.5</v>
      </c>
      <c r="I524" s="30">
        <v>257</v>
      </c>
      <c r="J524" s="30">
        <v>-23.9</v>
      </c>
      <c r="K524" s="30">
        <v>308</v>
      </c>
      <c r="L524" s="30">
        <v>-19.3</v>
      </c>
      <c r="M524" s="30">
        <v>327</v>
      </c>
      <c r="N524" s="30">
        <v>-17.600000000000001</v>
      </c>
      <c r="O524" s="30">
        <v>74</v>
      </c>
      <c r="P524" s="30">
        <v>73</v>
      </c>
      <c r="Q524" s="30">
        <v>46</v>
      </c>
      <c r="R524" s="30" t="s">
        <v>185</v>
      </c>
      <c r="S524" s="30">
        <v>3.4</v>
      </c>
      <c r="T524" s="30">
        <v>3.2</v>
      </c>
      <c r="U524" s="32">
        <v>4</v>
      </c>
      <c r="V524" s="35">
        <v>5</v>
      </c>
      <c r="Y524" s="31" t="s">
        <v>184</v>
      </c>
      <c r="Z524" s="30">
        <v>-35.200000000000003</v>
      </c>
      <c r="AA524" s="30">
        <v>-34.4</v>
      </c>
      <c r="AB524" s="30">
        <v>-28.6</v>
      </c>
      <c r="AC524" s="30">
        <v>-19</v>
      </c>
      <c r="AD524" s="30">
        <v>-7.4</v>
      </c>
      <c r="AE524" s="30">
        <v>5.3</v>
      </c>
      <c r="AF524" s="30">
        <v>11.5</v>
      </c>
      <c r="AG524" s="30">
        <v>8.3000000000000007</v>
      </c>
      <c r="AH524" s="30">
        <v>0.8</v>
      </c>
      <c r="AI524" s="30">
        <v>-13.4</v>
      </c>
      <c r="AJ524" s="30">
        <v>-28.2</v>
      </c>
      <c r="AK524" s="30">
        <v>-32.299999999999997</v>
      </c>
      <c r="AL524" s="30">
        <v>-14.4</v>
      </c>
    </row>
    <row r="525" spans="1:38" x14ac:dyDescent="0.25">
      <c r="A525" s="31" t="s">
        <v>961</v>
      </c>
      <c r="B525" s="30">
        <v>-54</v>
      </c>
      <c r="C525" s="30">
        <v>-52</v>
      </c>
      <c r="D525" s="30">
        <v>-52</v>
      </c>
      <c r="E525" s="30">
        <v>-50</v>
      </c>
      <c r="F525" s="30">
        <v>-40</v>
      </c>
      <c r="G525" s="30">
        <v>-58</v>
      </c>
      <c r="H525" s="30">
        <v>6.5</v>
      </c>
      <c r="I525" s="30">
        <v>232</v>
      </c>
      <c r="J525" s="30">
        <v>-24.5</v>
      </c>
      <c r="K525" s="30">
        <v>277</v>
      </c>
      <c r="L525" s="30">
        <v>-19.8</v>
      </c>
      <c r="M525" s="30">
        <v>294</v>
      </c>
      <c r="N525" s="30">
        <v>-18.100000000000001</v>
      </c>
      <c r="O525" s="30">
        <v>77</v>
      </c>
      <c r="P525" s="30">
        <v>77</v>
      </c>
      <c r="Q525" s="30">
        <v>64</v>
      </c>
      <c r="R525" s="30" t="s">
        <v>155</v>
      </c>
      <c r="S525" s="30">
        <v>1.9</v>
      </c>
      <c r="T525" s="30">
        <v>1.6</v>
      </c>
      <c r="U525" s="32">
        <v>4</v>
      </c>
      <c r="V525" s="35">
        <v>5</v>
      </c>
      <c r="Y525" s="31" t="s">
        <v>183</v>
      </c>
      <c r="Z525" s="30">
        <v>-36.200000000000003</v>
      </c>
      <c r="AA525" s="30">
        <v>-33.9</v>
      </c>
      <c r="AB525" s="30">
        <v>-26.2</v>
      </c>
      <c r="AC525" s="30">
        <v>-13.9</v>
      </c>
      <c r="AD525" s="30">
        <v>1.1000000000000001</v>
      </c>
      <c r="AE525" s="30">
        <v>11.4</v>
      </c>
      <c r="AF525" s="30">
        <v>14.4</v>
      </c>
      <c r="AG525" s="30">
        <v>10.6</v>
      </c>
      <c r="AH525" s="30">
        <v>3.3</v>
      </c>
      <c r="AI525" s="30">
        <v>-10.9</v>
      </c>
      <c r="AJ525" s="30">
        <v>-26.8</v>
      </c>
      <c r="AK525" s="30">
        <v>-34.4</v>
      </c>
      <c r="AL525" s="30">
        <v>-11.8</v>
      </c>
    </row>
    <row r="526" spans="1:38" x14ac:dyDescent="0.25">
      <c r="A526" s="31" t="s">
        <v>962</v>
      </c>
      <c r="B526" s="30">
        <v>-56</v>
      </c>
      <c r="C526" s="30">
        <v>-55</v>
      </c>
      <c r="D526" s="30">
        <v>-55</v>
      </c>
      <c r="E526" s="30">
        <v>-52</v>
      </c>
      <c r="F526" s="30">
        <v>-37</v>
      </c>
      <c r="G526" s="30">
        <v>-60</v>
      </c>
      <c r="H526" s="30">
        <v>9.4</v>
      </c>
      <c r="I526" s="30">
        <v>208</v>
      </c>
      <c r="J526" s="30">
        <v>-21.7</v>
      </c>
      <c r="K526" s="30">
        <v>257</v>
      </c>
      <c r="L526" s="30">
        <v>-16.8</v>
      </c>
      <c r="M526" s="30">
        <v>270</v>
      </c>
      <c r="N526" s="30">
        <v>-15.5</v>
      </c>
      <c r="O526" s="30">
        <v>77</v>
      </c>
      <c r="P526" s="30">
        <v>73</v>
      </c>
      <c r="Q526" s="30">
        <v>63</v>
      </c>
      <c r="R526" s="30" t="s">
        <v>150</v>
      </c>
      <c r="S526" s="30">
        <v>2.2999999999999998</v>
      </c>
      <c r="T526" s="30">
        <v>2.1</v>
      </c>
      <c r="U526" s="32">
        <v>4</v>
      </c>
      <c r="V526" s="35">
        <v>5</v>
      </c>
      <c r="Y526" s="31" t="s">
        <v>182</v>
      </c>
      <c r="Z526" s="30">
        <v>-32.9</v>
      </c>
      <c r="AA526" s="30">
        <v>-29.2</v>
      </c>
      <c r="AB526" s="30">
        <v>-17.8</v>
      </c>
      <c r="AC526" s="30">
        <v>-4.8</v>
      </c>
      <c r="AD526" s="30">
        <v>6.3</v>
      </c>
      <c r="AE526" s="30">
        <v>15.1</v>
      </c>
      <c r="AF526" s="30">
        <v>18</v>
      </c>
      <c r="AG526" s="30">
        <v>14.2</v>
      </c>
      <c r="AH526" s="30">
        <v>5.6</v>
      </c>
      <c r="AI526" s="30">
        <v>-6</v>
      </c>
      <c r="AJ526" s="30">
        <v>-23.2</v>
      </c>
      <c r="AK526" s="30">
        <v>-30.9</v>
      </c>
      <c r="AL526" s="30">
        <v>-7.1</v>
      </c>
    </row>
    <row r="527" spans="1:38" x14ac:dyDescent="0.25">
      <c r="A527" s="31" t="s">
        <v>963</v>
      </c>
      <c r="B527" s="30">
        <v>-62</v>
      </c>
      <c r="C527" s="30">
        <v>-61</v>
      </c>
      <c r="D527" s="30">
        <v>-60</v>
      </c>
      <c r="E527" s="30">
        <v>-59</v>
      </c>
      <c r="F527" s="30">
        <v>-46</v>
      </c>
      <c r="G527" s="30">
        <v>-64</v>
      </c>
      <c r="H527" s="30">
        <v>8.6</v>
      </c>
      <c r="I527" s="30">
        <v>235</v>
      </c>
      <c r="J527" s="30">
        <v>-26.7</v>
      </c>
      <c r="K527" s="30">
        <v>284</v>
      </c>
      <c r="L527" s="30">
        <v>-21.4</v>
      </c>
      <c r="M527" s="30">
        <v>297</v>
      </c>
      <c r="N527" s="30">
        <v>-20.100000000000001</v>
      </c>
      <c r="O527" s="30">
        <v>72</v>
      </c>
      <c r="P527" s="30">
        <v>72</v>
      </c>
      <c r="Q527" s="30">
        <v>49</v>
      </c>
      <c r="R527" s="30" t="s">
        <v>150</v>
      </c>
      <c r="S527" s="30">
        <v>2.6</v>
      </c>
      <c r="T527" s="30">
        <v>1.3</v>
      </c>
      <c r="U527" s="32">
        <v>4</v>
      </c>
      <c r="V527" s="35">
        <v>5</v>
      </c>
      <c r="Y527" s="31" t="s">
        <v>181</v>
      </c>
      <c r="Z527" s="30">
        <v>-41.7</v>
      </c>
      <c r="AA527" s="30">
        <v>-38</v>
      </c>
      <c r="AB527" s="30">
        <v>-26</v>
      </c>
      <c r="AC527" s="30">
        <v>-12.2</v>
      </c>
      <c r="AD527" s="30">
        <v>0.1</v>
      </c>
      <c r="AE527" s="30">
        <v>11.2</v>
      </c>
      <c r="AF527" s="30">
        <v>15.1</v>
      </c>
      <c r="AG527" s="30">
        <v>10.5</v>
      </c>
      <c r="AH527" s="30">
        <v>2.2999999999999998</v>
      </c>
      <c r="AI527" s="30">
        <v>-12.3</v>
      </c>
      <c r="AJ527" s="30">
        <v>-32.1</v>
      </c>
      <c r="AK527" s="30">
        <v>-38.4</v>
      </c>
      <c r="AL527" s="30">
        <v>-13.5</v>
      </c>
    </row>
    <row r="528" spans="1:38" x14ac:dyDescent="0.25">
      <c r="A528" s="31" t="s">
        <v>180</v>
      </c>
      <c r="B528" s="30">
        <v>-61</v>
      </c>
      <c r="C528" s="30">
        <v>-58</v>
      </c>
      <c r="D528" s="30">
        <v>-56</v>
      </c>
      <c r="E528" s="30">
        <v>-53</v>
      </c>
      <c r="F528" s="30">
        <v>-43</v>
      </c>
      <c r="G528" s="30">
        <v>-63</v>
      </c>
      <c r="H528" s="30">
        <v>11.8</v>
      </c>
      <c r="I528" s="30">
        <v>222</v>
      </c>
      <c r="J528" s="30">
        <v>-22.8</v>
      </c>
      <c r="K528" s="30">
        <v>270</v>
      </c>
      <c r="L528" s="30">
        <v>-18</v>
      </c>
      <c r="M528" s="30">
        <v>284</v>
      </c>
      <c r="N528" s="30">
        <v>-16.7</v>
      </c>
      <c r="O528" s="30">
        <v>75</v>
      </c>
      <c r="P528" s="30">
        <v>75</v>
      </c>
      <c r="Q528" s="30">
        <v>64</v>
      </c>
      <c r="R528" s="30" t="s">
        <v>155</v>
      </c>
      <c r="S528" s="30" t="s">
        <v>41</v>
      </c>
      <c r="T528" s="30">
        <v>1.1000000000000001</v>
      </c>
      <c r="U528" s="32">
        <v>4</v>
      </c>
      <c r="V528" s="35">
        <v>5</v>
      </c>
      <c r="Y528" s="31" t="s">
        <v>180</v>
      </c>
      <c r="Z528" s="30">
        <v>-37.6</v>
      </c>
      <c r="AA528" s="30">
        <v>-33.799999999999997</v>
      </c>
      <c r="AB528" s="30">
        <v>-21.2</v>
      </c>
      <c r="AC528" s="30">
        <v>-8.5</v>
      </c>
      <c r="AD528" s="30">
        <v>3.6</v>
      </c>
      <c r="AE528" s="30">
        <v>13.2</v>
      </c>
      <c r="AF528" s="30">
        <v>16.399999999999999</v>
      </c>
      <c r="AG528" s="30">
        <v>12.6</v>
      </c>
      <c r="AH528" s="30">
        <v>4.5</v>
      </c>
      <c r="AI528" s="30">
        <v>-7.4</v>
      </c>
      <c r="AJ528" s="30">
        <v>-26.9</v>
      </c>
      <c r="AK528" s="30">
        <v>-35.1</v>
      </c>
      <c r="AL528" s="30">
        <v>-10</v>
      </c>
    </row>
    <row r="529" spans="1:38" x14ac:dyDescent="0.25">
      <c r="A529" s="31" t="s">
        <v>179</v>
      </c>
      <c r="B529" s="30">
        <v>-51</v>
      </c>
      <c r="C529" s="30">
        <v>-50</v>
      </c>
      <c r="D529" s="30">
        <v>-49</v>
      </c>
      <c r="E529" s="30">
        <v>-46</v>
      </c>
      <c r="F529" s="30">
        <v>-40</v>
      </c>
      <c r="G529" s="30">
        <v>-53</v>
      </c>
      <c r="H529" s="30">
        <v>7.2</v>
      </c>
      <c r="I529" s="30">
        <v>239</v>
      </c>
      <c r="J529" s="30">
        <v>-22.1</v>
      </c>
      <c r="K529" s="30">
        <v>292</v>
      </c>
      <c r="L529" s="30">
        <v>-17.399999999999999</v>
      </c>
      <c r="M529" s="30">
        <v>311</v>
      </c>
      <c r="N529" s="30">
        <v>-15.8</v>
      </c>
      <c r="O529" s="30">
        <v>75</v>
      </c>
      <c r="P529" s="30">
        <v>75</v>
      </c>
      <c r="Q529" s="30">
        <v>34</v>
      </c>
      <c r="R529" s="30" t="s">
        <v>155</v>
      </c>
      <c r="S529" s="30">
        <v>8.6999999999999993</v>
      </c>
      <c r="T529" s="30">
        <v>3</v>
      </c>
      <c r="U529" s="32">
        <v>4</v>
      </c>
      <c r="V529" s="35">
        <v>5</v>
      </c>
      <c r="Y529" s="31" t="s">
        <v>179</v>
      </c>
      <c r="Z529" s="30">
        <v>-34.6</v>
      </c>
      <c r="AA529" s="30">
        <v>-32.4</v>
      </c>
      <c r="AB529" s="30">
        <v>-23.6</v>
      </c>
      <c r="AC529" s="30">
        <v>-12.7</v>
      </c>
      <c r="AD529" s="30">
        <v>-0.2</v>
      </c>
      <c r="AE529" s="30">
        <v>9.3000000000000007</v>
      </c>
      <c r="AF529" s="30">
        <v>12.7</v>
      </c>
      <c r="AG529" s="30">
        <v>9.9</v>
      </c>
      <c r="AH529" s="30">
        <v>1.7</v>
      </c>
      <c r="AI529" s="30">
        <v>-12.1</v>
      </c>
      <c r="AJ529" s="30">
        <v>-27.4</v>
      </c>
      <c r="AK529" s="30">
        <v>-33.1</v>
      </c>
      <c r="AL529" s="30">
        <v>-11.9</v>
      </c>
    </row>
    <row r="530" spans="1:38" x14ac:dyDescent="0.25">
      <c r="A530" s="31" t="s">
        <v>964</v>
      </c>
      <c r="B530" s="30">
        <v>-54</v>
      </c>
      <c r="C530" s="30">
        <v>-53</v>
      </c>
      <c r="D530" s="30">
        <v>-52</v>
      </c>
      <c r="E530" s="30">
        <v>-51</v>
      </c>
      <c r="F530" s="30">
        <v>-43</v>
      </c>
      <c r="G530" s="30">
        <v>-61</v>
      </c>
      <c r="H530" s="30">
        <v>14.3</v>
      </c>
      <c r="I530" s="30">
        <v>221</v>
      </c>
      <c r="J530" s="30">
        <v>-24.4</v>
      </c>
      <c r="K530" s="30">
        <v>273</v>
      </c>
      <c r="L530" s="30">
        <v>-18.899999999999999</v>
      </c>
      <c r="M530" s="30">
        <v>288</v>
      </c>
      <c r="N530" s="30">
        <v>-17.399999999999999</v>
      </c>
      <c r="O530" s="30">
        <v>78</v>
      </c>
      <c r="P530" s="30">
        <v>76</v>
      </c>
      <c r="Q530" s="30">
        <v>53</v>
      </c>
      <c r="R530" s="30" t="s">
        <v>142</v>
      </c>
      <c r="S530" s="30">
        <v>2.5</v>
      </c>
      <c r="T530" s="30">
        <v>0.6</v>
      </c>
      <c r="U530" s="32">
        <v>4</v>
      </c>
      <c r="V530" s="35">
        <v>5</v>
      </c>
      <c r="Y530" s="31" t="s">
        <v>178</v>
      </c>
      <c r="Z530" s="30">
        <v>-38.1</v>
      </c>
      <c r="AA530" s="30">
        <v>-33.299999999999997</v>
      </c>
      <c r="AB530" s="30">
        <v>-21.5</v>
      </c>
      <c r="AC530" s="30">
        <v>-7.3</v>
      </c>
      <c r="AD530" s="30">
        <v>3.9</v>
      </c>
      <c r="AE530" s="30">
        <v>11.8</v>
      </c>
      <c r="AF530" s="30">
        <v>14.6</v>
      </c>
      <c r="AG530" s="30">
        <v>11.2</v>
      </c>
      <c r="AH530" s="30">
        <v>3.7</v>
      </c>
      <c r="AI530" s="30">
        <v>-9.1999999999999993</v>
      </c>
      <c r="AJ530" s="30">
        <v>-27.1</v>
      </c>
      <c r="AK530" s="30">
        <v>-36.6</v>
      </c>
      <c r="AL530" s="30">
        <v>-10.7</v>
      </c>
    </row>
    <row r="531" spans="1:38" x14ac:dyDescent="0.25">
      <c r="A531" s="31" t="s">
        <v>177</v>
      </c>
      <c r="B531" s="30">
        <v>-56</v>
      </c>
      <c r="C531" s="30">
        <v>-54</v>
      </c>
      <c r="D531" s="30">
        <v>-54</v>
      </c>
      <c r="E531" s="30">
        <v>-51</v>
      </c>
      <c r="F531" s="30">
        <v>-41</v>
      </c>
      <c r="G531" s="30">
        <v>-60</v>
      </c>
      <c r="H531" s="30">
        <v>12.1</v>
      </c>
      <c r="I531" s="30">
        <v>214</v>
      </c>
      <c r="J531" s="30">
        <v>-21.9</v>
      </c>
      <c r="K531" s="30">
        <v>262</v>
      </c>
      <c r="L531" s="30">
        <v>-17.100000000000001</v>
      </c>
      <c r="M531" s="30">
        <v>277</v>
      </c>
      <c r="N531" s="30">
        <v>-15.7</v>
      </c>
      <c r="O531" s="30">
        <v>77</v>
      </c>
      <c r="P531" s="30">
        <v>77</v>
      </c>
      <c r="Q531" s="30">
        <v>92</v>
      </c>
      <c r="R531" s="30" t="s">
        <v>140</v>
      </c>
      <c r="S531" s="30" t="s">
        <v>41</v>
      </c>
      <c r="T531" s="30">
        <v>1</v>
      </c>
      <c r="U531" s="32">
        <v>4</v>
      </c>
      <c r="V531" s="35">
        <v>5</v>
      </c>
      <c r="Y531" s="31" t="s">
        <v>177</v>
      </c>
      <c r="Z531" s="30">
        <v>-35.5</v>
      </c>
      <c r="AA531" s="30">
        <v>-31.6</v>
      </c>
      <c r="AB531" s="30">
        <v>-20</v>
      </c>
      <c r="AC531" s="30">
        <v>-5.8</v>
      </c>
      <c r="AD531" s="30">
        <v>5.4</v>
      </c>
      <c r="AE531" s="30">
        <v>13.7</v>
      </c>
      <c r="AF531" s="30">
        <v>17.2</v>
      </c>
      <c r="AG531" s="30">
        <v>13.5</v>
      </c>
      <c r="AH531" s="30">
        <v>5.5</v>
      </c>
      <c r="AI531" s="30">
        <v>-6.7</v>
      </c>
      <c r="AJ531" s="30">
        <v>-24.4</v>
      </c>
      <c r="AK531" s="30">
        <v>-33.9</v>
      </c>
      <c r="AL531" s="30">
        <v>-8.6</v>
      </c>
    </row>
    <row r="532" spans="1:38" x14ac:dyDescent="0.25">
      <c r="A532" s="31" t="s">
        <v>965</v>
      </c>
      <c r="B532" s="30">
        <v>-58</v>
      </c>
      <c r="C532" s="30">
        <v>-57</v>
      </c>
      <c r="D532" s="30">
        <v>-55</v>
      </c>
      <c r="E532" s="30">
        <v>-54</v>
      </c>
      <c r="F532" s="30">
        <v>-47</v>
      </c>
      <c r="G532" s="30">
        <v>-60</v>
      </c>
      <c r="H532" s="30">
        <v>6.6</v>
      </c>
      <c r="I532" s="30">
        <v>224</v>
      </c>
      <c r="J532" s="30">
        <v>-28.8</v>
      </c>
      <c r="K532" s="30">
        <v>269</v>
      </c>
      <c r="L532" s="30">
        <v>-23.3</v>
      </c>
      <c r="M532" s="30">
        <v>283</v>
      </c>
      <c r="N532" s="30">
        <v>-21.7</v>
      </c>
      <c r="O532" s="30">
        <v>75</v>
      </c>
      <c r="P532" s="30">
        <v>76</v>
      </c>
      <c r="Q532" s="30">
        <v>31</v>
      </c>
      <c r="R532" s="30" t="s">
        <v>165</v>
      </c>
      <c r="S532" s="30">
        <v>2.7</v>
      </c>
      <c r="T532" s="30">
        <v>2.2000000000000002</v>
      </c>
      <c r="U532" s="32">
        <v>4</v>
      </c>
      <c r="V532" s="35">
        <v>5</v>
      </c>
      <c r="Y532" s="31" t="s">
        <v>176</v>
      </c>
      <c r="Z532" s="30">
        <v>-43.5</v>
      </c>
      <c r="AA532" s="30">
        <v>-38.6</v>
      </c>
      <c r="AB532" s="30">
        <v>-26.5</v>
      </c>
      <c r="AC532" s="30">
        <v>-10.3</v>
      </c>
      <c r="AD532" s="30">
        <v>4.0999999999999996</v>
      </c>
      <c r="AE532" s="30">
        <v>13.2</v>
      </c>
      <c r="AF532" s="30">
        <v>15.9</v>
      </c>
      <c r="AG532" s="30">
        <v>11.7</v>
      </c>
      <c r="AH532" s="30">
        <v>3.2</v>
      </c>
      <c r="AI532" s="30">
        <v>-13</v>
      </c>
      <c r="AJ532" s="30">
        <v>-33.6</v>
      </c>
      <c r="AK532" s="30">
        <v>-42.1</v>
      </c>
      <c r="AL532" s="30">
        <v>-13.3</v>
      </c>
    </row>
    <row r="533" spans="1:38" x14ac:dyDescent="0.25">
      <c r="A533" s="31" t="s">
        <v>175</v>
      </c>
      <c r="B533" s="30">
        <v>-58</v>
      </c>
      <c r="C533" s="30">
        <v>-55</v>
      </c>
      <c r="D533" s="30">
        <v>-54</v>
      </c>
      <c r="E533" s="30">
        <v>-52</v>
      </c>
      <c r="F533" s="30">
        <v>-38</v>
      </c>
      <c r="G533" s="30">
        <v>-59</v>
      </c>
      <c r="H533" s="30">
        <v>10.4</v>
      </c>
      <c r="I533" s="30">
        <v>216</v>
      </c>
      <c r="J533" s="30">
        <v>-20.399999999999999</v>
      </c>
      <c r="K533" s="30">
        <v>266</v>
      </c>
      <c r="L533" s="30">
        <v>-15.8</v>
      </c>
      <c r="M533" s="30">
        <v>280</v>
      </c>
      <c r="N533" s="30">
        <v>-14.5</v>
      </c>
      <c r="O533" s="30">
        <v>76</v>
      </c>
      <c r="P533" s="30">
        <v>75</v>
      </c>
      <c r="Q533" s="30">
        <v>72</v>
      </c>
      <c r="R533" s="30" t="s">
        <v>155</v>
      </c>
      <c r="S533" s="30">
        <v>3</v>
      </c>
      <c r="T533" s="30">
        <v>1.9</v>
      </c>
      <c r="U533" s="32">
        <v>4</v>
      </c>
      <c r="V533" s="35">
        <v>5</v>
      </c>
      <c r="Y533" s="31" t="s">
        <v>175</v>
      </c>
      <c r="Z533" s="30">
        <v>-33.200000000000003</v>
      </c>
      <c r="AA533" s="30">
        <v>-29.3</v>
      </c>
      <c r="AB533" s="30">
        <v>-18.8</v>
      </c>
      <c r="AC533" s="30">
        <v>-6.4</v>
      </c>
      <c r="AD533" s="30">
        <v>4.3</v>
      </c>
      <c r="AE533" s="30">
        <v>13.3</v>
      </c>
      <c r="AF533" s="30">
        <v>16.5</v>
      </c>
      <c r="AG533" s="30">
        <v>13</v>
      </c>
      <c r="AH533" s="30">
        <v>5.4</v>
      </c>
      <c r="AI533" s="30">
        <v>-6.3</v>
      </c>
      <c r="AJ533" s="30">
        <v>-23.6</v>
      </c>
      <c r="AK533" s="30">
        <v>-31.2</v>
      </c>
      <c r="AL533" s="30">
        <v>-8</v>
      </c>
    </row>
    <row r="534" spans="1:38" x14ac:dyDescent="0.25">
      <c r="A534" s="31" t="s">
        <v>174</v>
      </c>
      <c r="B534" s="30">
        <v>-55</v>
      </c>
      <c r="C534" s="30">
        <v>-53</v>
      </c>
      <c r="D534" s="30">
        <v>-52</v>
      </c>
      <c r="E534" s="30">
        <v>-50</v>
      </c>
      <c r="F534" s="30">
        <v>-38</v>
      </c>
      <c r="G534" s="30">
        <v>-57</v>
      </c>
      <c r="H534" s="30">
        <v>11.9</v>
      </c>
      <c r="I534" s="30">
        <v>211</v>
      </c>
      <c r="J534" s="30">
        <v>-20.5</v>
      </c>
      <c r="K534" s="30">
        <v>262</v>
      </c>
      <c r="L534" s="30">
        <v>-15.7</v>
      </c>
      <c r="M534" s="30">
        <v>278</v>
      </c>
      <c r="N534" s="30">
        <v>-14.4</v>
      </c>
      <c r="O534" s="30">
        <v>78</v>
      </c>
      <c r="P534" s="30">
        <v>77</v>
      </c>
      <c r="Q534" s="30">
        <v>89</v>
      </c>
      <c r="R534" s="30" t="s">
        <v>140</v>
      </c>
      <c r="S534" s="30" t="s">
        <v>41</v>
      </c>
      <c r="T534" s="30">
        <v>0.8</v>
      </c>
      <c r="U534" s="32">
        <v>4</v>
      </c>
      <c r="V534" s="35">
        <v>5</v>
      </c>
      <c r="Y534" s="31" t="s">
        <v>174</v>
      </c>
      <c r="Z534" s="30">
        <v>-33.1</v>
      </c>
      <c r="AA534" s="30">
        <v>-29.9</v>
      </c>
      <c r="AB534" s="30">
        <v>-18.2</v>
      </c>
      <c r="AC534" s="30">
        <v>-4.5</v>
      </c>
      <c r="AD534" s="30">
        <v>5.7</v>
      </c>
      <c r="AE534" s="30">
        <v>13.6</v>
      </c>
      <c r="AF534" s="30">
        <v>17</v>
      </c>
      <c r="AG534" s="30">
        <v>13.2</v>
      </c>
      <c r="AH534" s="30">
        <v>5.0999999999999996</v>
      </c>
      <c r="AI534" s="30">
        <v>-5.9</v>
      </c>
      <c r="AJ534" s="30">
        <v>-22.6</v>
      </c>
      <c r="AK534" s="30">
        <v>-32.200000000000003</v>
      </c>
      <c r="AL534" s="30">
        <v>-7.7</v>
      </c>
    </row>
    <row r="535" spans="1:38" x14ac:dyDescent="0.25">
      <c r="A535" s="31" t="s">
        <v>966</v>
      </c>
      <c r="B535" s="30">
        <v>-56</v>
      </c>
      <c r="C535" s="30">
        <v>-55</v>
      </c>
      <c r="D535" s="30">
        <v>-54</v>
      </c>
      <c r="E535" s="30">
        <v>-52</v>
      </c>
      <c r="F535" s="30">
        <v>-45</v>
      </c>
      <c r="G535" s="30">
        <v>-60</v>
      </c>
      <c r="H535" s="30">
        <v>7.2</v>
      </c>
      <c r="I535" s="30">
        <v>206</v>
      </c>
      <c r="J535" s="30">
        <v>-26.2</v>
      </c>
      <c r="K535" s="30">
        <v>251</v>
      </c>
      <c r="L535" s="30">
        <v>-20.8</v>
      </c>
      <c r="M535" s="30">
        <v>264</v>
      </c>
      <c r="N535" s="30">
        <v>-19.3</v>
      </c>
      <c r="O535" s="30">
        <v>76</v>
      </c>
      <c r="P535" s="30">
        <v>73</v>
      </c>
      <c r="Q535" s="30">
        <v>55</v>
      </c>
      <c r="R535" s="30" t="s">
        <v>165</v>
      </c>
      <c r="S535" s="30">
        <v>1.5</v>
      </c>
      <c r="T535" s="30">
        <v>1.3</v>
      </c>
      <c r="U535" s="32">
        <v>4</v>
      </c>
      <c r="V535" s="35">
        <v>5</v>
      </c>
      <c r="Y535" s="31" t="s">
        <v>173</v>
      </c>
      <c r="Z535" s="30">
        <v>-40.299999999999997</v>
      </c>
      <c r="AA535" s="30">
        <v>-34.9</v>
      </c>
      <c r="AB535" s="30">
        <v>-20.100000000000001</v>
      </c>
      <c r="AC535" s="30">
        <v>-4</v>
      </c>
      <c r="AD535" s="30">
        <v>7.4</v>
      </c>
      <c r="AE535" s="30">
        <v>15.5</v>
      </c>
      <c r="AF535" s="30">
        <v>18.2</v>
      </c>
      <c r="AG535" s="30">
        <v>14.4</v>
      </c>
      <c r="AH535" s="30">
        <v>6.1</v>
      </c>
      <c r="AI535" s="30">
        <v>-7.4</v>
      </c>
      <c r="AJ535" s="30">
        <v>-27.6</v>
      </c>
      <c r="AK535" s="30">
        <v>-38.799999999999997</v>
      </c>
      <c r="AL535" s="30">
        <v>-9.3000000000000007</v>
      </c>
    </row>
    <row r="536" spans="1:38" x14ac:dyDescent="0.25">
      <c r="A536" s="31" t="s">
        <v>172</v>
      </c>
      <c r="B536" s="30">
        <v>-55</v>
      </c>
      <c r="C536" s="30">
        <v>-54</v>
      </c>
      <c r="D536" s="30">
        <v>-54</v>
      </c>
      <c r="E536" s="30">
        <v>-51</v>
      </c>
      <c r="F536" s="30">
        <v>-45</v>
      </c>
      <c r="G536" s="30">
        <v>-59</v>
      </c>
      <c r="H536" s="30">
        <v>10.4</v>
      </c>
      <c r="I536" s="30">
        <v>213</v>
      </c>
      <c r="J536" s="30">
        <v>-24</v>
      </c>
      <c r="K536" s="30">
        <v>259</v>
      </c>
      <c r="L536" s="30">
        <v>-18.899999999999999</v>
      </c>
      <c r="M536" s="30">
        <v>274</v>
      </c>
      <c r="N536" s="30">
        <v>-17.399999999999999</v>
      </c>
      <c r="O536" s="30">
        <v>75</v>
      </c>
      <c r="P536" s="30">
        <v>74</v>
      </c>
      <c r="Q536" s="30">
        <v>68</v>
      </c>
      <c r="R536" s="30" t="s">
        <v>146</v>
      </c>
      <c r="S536" s="30" t="s">
        <v>41</v>
      </c>
      <c r="T536" s="30">
        <v>1.1000000000000001</v>
      </c>
      <c r="U536" s="32">
        <v>4</v>
      </c>
      <c r="V536" s="35">
        <v>5</v>
      </c>
      <c r="Y536" s="31" t="s">
        <v>172</v>
      </c>
      <c r="Z536" s="30">
        <v>-39.6</v>
      </c>
      <c r="AA536" s="30">
        <v>-34.200000000000003</v>
      </c>
      <c r="AB536" s="30">
        <v>-21</v>
      </c>
      <c r="AC536" s="30">
        <v>-5.2</v>
      </c>
      <c r="AD536" s="30">
        <v>6.1</v>
      </c>
      <c r="AE536" s="30">
        <v>13.9</v>
      </c>
      <c r="AF536" s="30">
        <v>17.2</v>
      </c>
      <c r="AG536" s="30">
        <v>13.9</v>
      </c>
      <c r="AH536" s="30">
        <v>5.5</v>
      </c>
      <c r="AI536" s="30">
        <v>-7.3</v>
      </c>
      <c r="AJ536" s="30">
        <v>-27</v>
      </c>
      <c r="AK536" s="30">
        <v>-37.700000000000003</v>
      </c>
      <c r="AL536" s="30">
        <v>-9.6</v>
      </c>
    </row>
    <row r="537" spans="1:38" x14ac:dyDescent="0.25">
      <c r="A537" s="31" t="s">
        <v>967</v>
      </c>
      <c r="B537" s="30">
        <v>-61</v>
      </c>
      <c r="C537" s="30">
        <v>-60</v>
      </c>
      <c r="D537" s="30">
        <v>-58</v>
      </c>
      <c r="E537" s="30">
        <v>-56</v>
      </c>
      <c r="F537" s="30">
        <v>-48</v>
      </c>
      <c r="G537" s="30">
        <v>-62</v>
      </c>
      <c r="H537" s="30">
        <v>7.4</v>
      </c>
      <c r="I537" s="30">
        <v>227</v>
      </c>
      <c r="J537" s="30">
        <v>-29.1</v>
      </c>
      <c r="K537" s="30">
        <v>267</v>
      </c>
      <c r="L537" s="30">
        <v>-24.1</v>
      </c>
      <c r="M537" s="30">
        <v>282</v>
      </c>
      <c r="N537" s="30">
        <v>-22.3</v>
      </c>
      <c r="O537" s="30">
        <v>75</v>
      </c>
      <c r="P537" s="30">
        <v>75</v>
      </c>
      <c r="Q537" s="30">
        <v>37</v>
      </c>
      <c r="R537" s="30" t="s">
        <v>140</v>
      </c>
      <c r="S537" s="30">
        <v>2.9</v>
      </c>
      <c r="T537" s="30">
        <v>0.8</v>
      </c>
      <c r="U537" s="32">
        <v>4</v>
      </c>
      <c r="V537" s="35">
        <v>5</v>
      </c>
      <c r="Y537" s="31" t="s">
        <v>171</v>
      </c>
      <c r="Z537" s="30">
        <v>-43.4</v>
      </c>
      <c r="AA537" s="30">
        <v>-39.4</v>
      </c>
      <c r="AB537" s="30">
        <v>-28.1</v>
      </c>
      <c r="AC537" s="30">
        <v>-12.2</v>
      </c>
      <c r="AD537" s="30">
        <v>4</v>
      </c>
      <c r="AE537" s="30">
        <v>13.5</v>
      </c>
      <c r="AF537" s="30">
        <v>15.7</v>
      </c>
      <c r="AG537" s="30">
        <v>11.4</v>
      </c>
      <c r="AH537" s="30">
        <v>3.1</v>
      </c>
      <c r="AI537" s="30">
        <v>-13.9</v>
      </c>
      <c r="AJ537" s="30">
        <v>-33.4</v>
      </c>
      <c r="AK537" s="30">
        <v>-41.7</v>
      </c>
      <c r="AL537" s="30">
        <v>-13.7</v>
      </c>
    </row>
    <row r="538" spans="1:38" x14ac:dyDescent="0.25">
      <c r="A538" s="31" t="s">
        <v>968</v>
      </c>
      <c r="B538" s="30">
        <v>-48</v>
      </c>
      <c r="C538" s="30">
        <v>-46</v>
      </c>
      <c r="D538" s="30">
        <v>-45</v>
      </c>
      <c r="E538" s="30">
        <v>-44</v>
      </c>
      <c r="F538" s="30">
        <v>-40</v>
      </c>
      <c r="G538" s="30">
        <v>-61</v>
      </c>
      <c r="H538" s="30">
        <v>7.3</v>
      </c>
      <c r="I538" s="30">
        <v>217</v>
      </c>
      <c r="J538" s="30">
        <v>-19.7</v>
      </c>
      <c r="K538" s="30">
        <v>266</v>
      </c>
      <c r="L538" s="30">
        <v>-15.4</v>
      </c>
      <c r="M538" s="30">
        <v>279</v>
      </c>
      <c r="N538" s="30">
        <v>-14.2</v>
      </c>
      <c r="O538" s="30">
        <v>79</v>
      </c>
      <c r="P538" s="30">
        <v>80</v>
      </c>
      <c r="Q538" s="30">
        <v>76</v>
      </c>
      <c r="R538" s="30" t="s">
        <v>140</v>
      </c>
      <c r="S538" s="30">
        <v>3.6</v>
      </c>
      <c r="T538" s="30">
        <v>2.2999999999999998</v>
      </c>
      <c r="U538" s="32">
        <v>4</v>
      </c>
      <c r="V538" s="35">
        <v>5</v>
      </c>
      <c r="Y538" s="31" t="s">
        <v>170</v>
      </c>
      <c r="Z538" s="30">
        <v>-31.1</v>
      </c>
      <c r="AA538" s="30">
        <v>-26.3</v>
      </c>
      <c r="AB538" s="30">
        <v>-16.2</v>
      </c>
      <c r="AC538" s="30">
        <v>-5.0999999999999996</v>
      </c>
      <c r="AD538" s="30">
        <v>4.5</v>
      </c>
      <c r="AE538" s="30">
        <v>13.1</v>
      </c>
      <c r="AF538" s="30">
        <v>16</v>
      </c>
      <c r="AG538" s="30">
        <v>12.9</v>
      </c>
      <c r="AH538" s="30">
        <v>4.5</v>
      </c>
      <c r="AI538" s="30">
        <v>-7.3</v>
      </c>
      <c r="AJ538" s="30">
        <v>-21.4</v>
      </c>
      <c r="AK538" s="30">
        <v>-30</v>
      </c>
      <c r="AL538" s="30">
        <v>-7.2</v>
      </c>
    </row>
    <row r="539" spans="1:38" x14ac:dyDescent="0.25">
      <c r="A539" s="31" t="s">
        <v>169</v>
      </c>
      <c r="B539" s="30">
        <v>-61</v>
      </c>
      <c r="C539" s="30">
        <v>-59</v>
      </c>
      <c r="D539" s="30">
        <v>-59</v>
      </c>
      <c r="E539" s="30">
        <v>-56</v>
      </c>
      <c r="F539" s="30">
        <v>-49</v>
      </c>
      <c r="G539" s="30">
        <v>-64</v>
      </c>
      <c r="H539" s="30">
        <v>9.1</v>
      </c>
      <c r="I539" s="30">
        <v>219</v>
      </c>
      <c r="J539" s="30">
        <v>-26.6</v>
      </c>
      <c r="K539" s="30">
        <v>239</v>
      </c>
      <c r="L539" s="30">
        <v>-21.8</v>
      </c>
      <c r="M539" s="30">
        <v>273</v>
      </c>
      <c r="N539" s="30">
        <v>-20.2</v>
      </c>
      <c r="O539" s="30">
        <v>73</v>
      </c>
      <c r="P539" s="30">
        <v>73</v>
      </c>
      <c r="Q539" s="30">
        <v>46</v>
      </c>
      <c r="R539" s="30" t="s">
        <v>146</v>
      </c>
      <c r="S539" s="30" t="s">
        <v>41</v>
      </c>
      <c r="T539" s="30">
        <v>1.4</v>
      </c>
      <c r="U539" s="32">
        <v>4</v>
      </c>
      <c r="V539" s="35">
        <v>5</v>
      </c>
      <c r="Y539" s="31" t="s">
        <v>169</v>
      </c>
      <c r="Z539" s="30">
        <v>-44</v>
      </c>
      <c r="AA539" s="30">
        <v>-38.4</v>
      </c>
      <c r="AB539" s="30">
        <v>-24</v>
      </c>
      <c r="AC539" s="30">
        <v>-7.8</v>
      </c>
      <c r="AD539" s="30">
        <v>5.8</v>
      </c>
      <c r="AE539" s="30">
        <v>14.7</v>
      </c>
      <c r="AF539" s="30">
        <v>18.100000000000001</v>
      </c>
      <c r="AG539" s="30">
        <v>14.3</v>
      </c>
      <c r="AH539" s="30">
        <v>5.2</v>
      </c>
      <c r="AI539" s="30">
        <v>-9.4</v>
      </c>
      <c r="AJ539" s="30">
        <v>-30.8</v>
      </c>
      <c r="AK539" s="30">
        <v>-41.8</v>
      </c>
      <c r="AL539" s="30">
        <v>-11.5</v>
      </c>
    </row>
    <row r="540" spans="1:38" x14ac:dyDescent="0.25">
      <c r="A540" s="31" t="s">
        <v>969</v>
      </c>
      <c r="B540" s="30">
        <v>-60</v>
      </c>
      <c r="C540" s="30">
        <v>-59</v>
      </c>
      <c r="D540" s="30">
        <v>-58</v>
      </c>
      <c r="E540" s="30">
        <v>-57</v>
      </c>
      <c r="F540" s="30">
        <v>-45</v>
      </c>
      <c r="G540" s="30">
        <v>-65</v>
      </c>
      <c r="H540" s="30">
        <v>10</v>
      </c>
      <c r="I540" s="30">
        <v>233</v>
      </c>
      <c r="J540" s="30">
        <v>-26.1</v>
      </c>
      <c r="K540" s="30">
        <v>282</v>
      </c>
      <c r="L540" s="30">
        <v>-20.8</v>
      </c>
      <c r="M540" s="30">
        <v>296</v>
      </c>
      <c r="N540" s="30">
        <v>-19.399999999999999</v>
      </c>
      <c r="O540" s="30">
        <v>75</v>
      </c>
      <c r="P540" s="30">
        <v>76</v>
      </c>
      <c r="Q540" s="30">
        <v>52</v>
      </c>
      <c r="R540" s="30" t="s">
        <v>146</v>
      </c>
      <c r="S540" s="30">
        <v>1.7</v>
      </c>
      <c r="T540" s="30">
        <v>1.1000000000000001</v>
      </c>
      <c r="U540" s="32">
        <v>4</v>
      </c>
      <c r="V540" s="35">
        <v>5</v>
      </c>
      <c r="Y540" s="31" t="s">
        <v>168</v>
      </c>
      <c r="Z540" s="30">
        <v>-41</v>
      </c>
      <c r="AA540" s="30">
        <v>-37.1</v>
      </c>
      <c r="AB540" s="30">
        <v>-25</v>
      </c>
      <c r="AC540" s="30">
        <v>-11.6</v>
      </c>
      <c r="AD540" s="30">
        <v>1</v>
      </c>
      <c r="AE540" s="30">
        <v>11.3</v>
      </c>
      <c r="AF540" s="30">
        <v>14.9</v>
      </c>
      <c r="AG540" s="30">
        <v>10.5</v>
      </c>
      <c r="AH540" s="30">
        <v>2.2999999999999998</v>
      </c>
      <c r="AI540" s="30">
        <v>-11.4</v>
      </c>
      <c r="AJ540" s="30">
        <v>-30.7</v>
      </c>
      <c r="AK540" s="30">
        <v>-37.9</v>
      </c>
      <c r="AL540" s="30">
        <v>-12.9</v>
      </c>
    </row>
    <row r="541" spans="1:38" x14ac:dyDescent="0.25">
      <c r="A541" s="31" t="s">
        <v>167</v>
      </c>
      <c r="B541" s="30">
        <v>-56</v>
      </c>
      <c r="C541" s="30">
        <v>-54</v>
      </c>
      <c r="D541" s="30">
        <v>-54</v>
      </c>
      <c r="E541" s="30">
        <v>-52</v>
      </c>
      <c r="F541" s="30">
        <v>-43</v>
      </c>
      <c r="G541" s="30">
        <v>-59</v>
      </c>
      <c r="H541" s="30">
        <v>9.6</v>
      </c>
      <c r="I541" s="30">
        <v>236</v>
      </c>
      <c r="J541" s="30">
        <v>-23.1</v>
      </c>
      <c r="K541" s="30">
        <v>284</v>
      </c>
      <c r="L541" s="30">
        <v>-18.5</v>
      </c>
      <c r="M541" s="30">
        <v>298</v>
      </c>
      <c r="N541" s="30">
        <v>-17.3</v>
      </c>
      <c r="O541" s="30">
        <v>75</v>
      </c>
      <c r="P541" s="30">
        <v>75</v>
      </c>
      <c r="Q541" s="30">
        <v>38</v>
      </c>
      <c r="R541" s="30" t="s">
        <v>150</v>
      </c>
      <c r="S541" s="30" t="s">
        <v>41</v>
      </c>
      <c r="T541" s="30">
        <v>2.6</v>
      </c>
      <c r="U541" s="32">
        <v>4</v>
      </c>
      <c r="V541" s="35">
        <v>5</v>
      </c>
      <c r="Y541" s="31" t="s">
        <v>166</v>
      </c>
      <c r="Z541" s="30">
        <v>-37.700000000000003</v>
      </c>
      <c r="AA541" s="30">
        <v>-34.200000000000003</v>
      </c>
      <c r="AB541" s="30">
        <v>-23.8</v>
      </c>
      <c r="AC541" s="30">
        <v>-11.8</v>
      </c>
      <c r="AD541" s="30">
        <v>0</v>
      </c>
      <c r="AE541" s="30">
        <v>10.9</v>
      </c>
      <c r="AF541" s="30">
        <v>15.1</v>
      </c>
      <c r="AG541" s="30">
        <v>10.9</v>
      </c>
      <c r="AH541" s="30">
        <v>2.8</v>
      </c>
      <c r="AI541" s="30">
        <v>-10.5</v>
      </c>
      <c r="AJ541" s="30">
        <v>-28.4</v>
      </c>
      <c r="AK541" s="30">
        <v>-35.5</v>
      </c>
      <c r="AL541" s="30">
        <v>-11.9</v>
      </c>
    </row>
    <row r="542" spans="1:38" x14ac:dyDescent="0.25">
      <c r="A542" s="31" t="s">
        <v>970</v>
      </c>
      <c r="B542" s="30">
        <v>-57</v>
      </c>
      <c r="C542" s="30">
        <v>-55</v>
      </c>
      <c r="D542" s="30">
        <v>-54</v>
      </c>
      <c r="E542" s="30">
        <v>-52</v>
      </c>
      <c r="F542" s="30">
        <v>-46</v>
      </c>
      <c r="G542" s="30">
        <v>-64</v>
      </c>
      <c r="H542" s="30">
        <v>6.3</v>
      </c>
      <c r="I542" s="30">
        <v>209</v>
      </c>
      <c r="J542" s="30">
        <v>-26</v>
      </c>
      <c r="K542" s="30">
        <v>252</v>
      </c>
      <c r="L542" s="30">
        <v>-20.9</v>
      </c>
      <c r="M542" s="30">
        <v>263</v>
      </c>
      <c r="N542" s="30">
        <v>-19.600000000000001</v>
      </c>
      <c r="O542" s="30">
        <v>76</v>
      </c>
      <c r="P542" s="30">
        <v>72</v>
      </c>
      <c r="Q542" s="30">
        <v>47</v>
      </c>
      <c r="R542" s="30" t="s">
        <v>165</v>
      </c>
      <c r="S542" s="30">
        <v>1.8</v>
      </c>
      <c r="T542" s="30">
        <v>1.6</v>
      </c>
      <c r="U542" s="32">
        <v>4</v>
      </c>
      <c r="V542" s="35">
        <v>5</v>
      </c>
      <c r="Y542" s="31" t="s">
        <v>164</v>
      </c>
      <c r="Z542" s="30">
        <v>-39.6</v>
      </c>
      <c r="AA542" s="30">
        <v>-35</v>
      </c>
      <c r="AB542" s="30">
        <v>-20.8</v>
      </c>
      <c r="AC542" s="30">
        <v>-5.2</v>
      </c>
      <c r="AD542" s="30">
        <v>7.3</v>
      </c>
      <c r="AE542" s="30">
        <v>16.100000000000001</v>
      </c>
      <c r="AF542" s="30">
        <v>19.100000000000001</v>
      </c>
      <c r="AG542" s="30">
        <v>15.1</v>
      </c>
      <c r="AH542" s="30">
        <v>5.9</v>
      </c>
      <c r="AI542" s="30">
        <v>-8</v>
      </c>
      <c r="AJ542" s="30">
        <v>-28.2</v>
      </c>
      <c r="AK542" s="30">
        <v>-38.1</v>
      </c>
      <c r="AL542" s="30">
        <v>-9.3000000000000007</v>
      </c>
    </row>
    <row r="543" spans="1:38" x14ac:dyDescent="0.25">
      <c r="A543" s="33" t="s">
        <v>163</v>
      </c>
      <c r="B543" s="70"/>
      <c r="C543" s="70"/>
      <c r="D543" s="70"/>
      <c r="E543" s="70"/>
      <c r="F543" s="70"/>
      <c r="G543" s="70"/>
      <c r="H543" s="70"/>
      <c r="I543" s="70"/>
      <c r="J543" s="70"/>
      <c r="K543" s="70"/>
      <c r="L543" s="70"/>
      <c r="M543" s="70"/>
      <c r="N543" s="70"/>
      <c r="O543" s="70"/>
      <c r="P543" s="70"/>
      <c r="Q543" s="70"/>
      <c r="R543" s="70"/>
      <c r="S543" s="70"/>
      <c r="T543" s="70"/>
      <c r="U543" s="34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</row>
    <row r="544" spans="1:38" ht="38.25" x14ac:dyDescent="0.25">
      <c r="A544" s="33" t="s">
        <v>162</v>
      </c>
      <c r="B544" s="70"/>
      <c r="C544" s="70"/>
      <c r="D544" s="70"/>
      <c r="E544" s="70"/>
      <c r="F544" s="70"/>
      <c r="G544" s="70"/>
      <c r="H544" s="70"/>
      <c r="I544" s="70"/>
      <c r="J544" s="70"/>
      <c r="K544" s="70"/>
      <c r="L544" s="70"/>
      <c r="M544" s="70"/>
      <c r="N544" s="70"/>
      <c r="O544" s="70"/>
      <c r="P544" s="70"/>
      <c r="Q544" s="70"/>
      <c r="R544" s="70"/>
      <c r="S544" s="70"/>
      <c r="T544" s="70"/>
      <c r="U544" s="34"/>
      <c r="Y544" s="33" t="s">
        <v>161</v>
      </c>
      <c r="Z544" s="70"/>
      <c r="AA544" s="70"/>
      <c r="AB544" s="70"/>
      <c r="AC544" s="70"/>
      <c r="AD544" s="70"/>
      <c r="AE544" s="70"/>
      <c r="AF544" s="70"/>
      <c r="AG544" s="70"/>
      <c r="AH544" s="70"/>
      <c r="AI544" s="70"/>
      <c r="AJ544" s="70"/>
      <c r="AK544" s="70"/>
      <c r="AL544" s="70"/>
    </row>
    <row r="545" spans="1:38" x14ac:dyDescent="0.25">
      <c r="A545" s="31" t="s">
        <v>160</v>
      </c>
      <c r="B545" s="30">
        <v>-40</v>
      </c>
      <c r="C545" s="30">
        <v>-39</v>
      </c>
      <c r="D545" s="30">
        <v>-37</v>
      </c>
      <c r="E545" s="30">
        <v>-36</v>
      </c>
      <c r="F545" s="30">
        <v>-24</v>
      </c>
      <c r="G545" s="30">
        <v>-44</v>
      </c>
      <c r="H545" s="30">
        <v>8.8000000000000007</v>
      </c>
      <c r="I545" s="30">
        <v>238</v>
      </c>
      <c r="J545" s="30">
        <v>-11.5</v>
      </c>
      <c r="K545" s="30">
        <v>323</v>
      </c>
      <c r="L545" s="30">
        <v>-7.3</v>
      </c>
      <c r="M545" s="30">
        <v>365</v>
      </c>
      <c r="N545" s="30">
        <v>-5.6</v>
      </c>
      <c r="O545" s="30">
        <v>86</v>
      </c>
      <c r="P545" s="30">
        <v>85</v>
      </c>
      <c r="Q545" s="30">
        <v>126</v>
      </c>
      <c r="R545" s="30" t="s">
        <v>155</v>
      </c>
      <c r="S545" s="30" t="s">
        <v>41</v>
      </c>
      <c r="T545" s="30">
        <v>6.1</v>
      </c>
      <c r="U545" s="32">
        <v>0</v>
      </c>
      <c r="Y545" s="31" t="s">
        <v>160</v>
      </c>
      <c r="Z545" s="30">
        <v>-17.8</v>
      </c>
      <c r="AA545" s="30">
        <v>-19.2</v>
      </c>
      <c r="AB545" s="30">
        <v>-16.600000000000001</v>
      </c>
      <c r="AC545" s="30">
        <v>-9.5</v>
      </c>
      <c r="AD545" s="30">
        <v>-3.4</v>
      </c>
      <c r="AE545" s="30">
        <v>2.8</v>
      </c>
      <c r="AF545" s="30">
        <v>8.9</v>
      </c>
      <c r="AG545" s="30">
        <v>8.8000000000000007</v>
      </c>
      <c r="AH545" s="30">
        <v>4.9000000000000004</v>
      </c>
      <c r="AI545" s="30">
        <v>-2.2000000000000002</v>
      </c>
      <c r="AJ545" s="30">
        <v>-9.5</v>
      </c>
      <c r="AK545" s="30">
        <v>-13.9</v>
      </c>
      <c r="AL545" s="30">
        <v>-5.6</v>
      </c>
    </row>
    <row r="546" spans="1:38" x14ac:dyDescent="0.25">
      <c r="A546" s="31" t="s">
        <v>971</v>
      </c>
      <c r="B546" s="30">
        <v>-40</v>
      </c>
      <c r="C546" s="30">
        <v>-39</v>
      </c>
      <c r="D546" s="30">
        <v>-37</v>
      </c>
      <c r="E546" s="30">
        <v>-34</v>
      </c>
      <c r="F546" s="30">
        <v>-18</v>
      </c>
      <c r="G546" s="30">
        <v>-43</v>
      </c>
      <c r="H546" s="30">
        <v>7.6</v>
      </c>
      <c r="I546" s="30">
        <v>215</v>
      </c>
      <c r="J546" s="30">
        <v>-9.5</v>
      </c>
      <c r="K546" s="30">
        <v>298</v>
      </c>
      <c r="L546" s="30">
        <v>-5.6</v>
      </c>
      <c r="M546" s="30">
        <v>328</v>
      </c>
      <c r="N546" s="30">
        <v>-4.3</v>
      </c>
      <c r="O546" s="30">
        <v>83</v>
      </c>
      <c r="P546" s="30">
        <v>82</v>
      </c>
      <c r="Q546" s="30">
        <v>124</v>
      </c>
      <c r="R546" s="30" t="s">
        <v>155</v>
      </c>
      <c r="S546" s="30">
        <v>10.1</v>
      </c>
      <c r="T546" s="30">
        <v>6.7</v>
      </c>
      <c r="U546" s="32">
        <v>0</v>
      </c>
      <c r="Y546" s="31" t="s">
        <v>159</v>
      </c>
      <c r="Z546" s="30">
        <v>-15.2</v>
      </c>
      <c r="AA546" s="30">
        <v>-14.9</v>
      </c>
      <c r="AB546" s="30">
        <v>-10.1</v>
      </c>
      <c r="AC546" s="30">
        <v>-6.6</v>
      </c>
      <c r="AD546" s="30">
        <v>-0.4</v>
      </c>
      <c r="AE546" s="30">
        <v>5.9</v>
      </c>
      <c r="AF546" s="30">
        <v>10.6</v>
      </c>
      <c r="AG546" s="30">
        <v>9.6999999999999993</v>
      </c>
      <c r="AH546" s="30">
        <v>6.4</v>
      </c>
      <c r="AI546" s="30">
        <v>0.2</v>
      </c>
      <c r="AJ546" s="30">
        <v>-6.5</v>
      </c>
      <c r="AK546" s="30">
        <v>-10.8</v>
      </c>
      <c r="AL546" s="30">
        <v>-2.6</v>
      </c>
    </row>
    <row r="547" spans="1:38" x14ac:dyDescent="0.25">
      <c r="A547" s="31" t="s">
        <v>972</v>
      </c>
      <c r="B547" s="30">
        <v>-29</v>
      </c>
      <c r="C547" s="30">
        <v>-26</v>
      </c>
      <c r="D547" s="30">
        <v>-25</v>
      </c>
      <c r="E547" s="30">
        <v>-23</v>
      </c>
      <c r="F547" s="30">
        <v>-13</v>
      </c>
      <c r="G547" s="30">
        <v>-33</v>
      </c>
      <c r="H547" s="30">
        <v>5.4</v>
      </c>
      <c r="I547" s="30">
        <v>208</v>
      </c>
      <c r="J547" s="30">
        <v>-5.8</v>
      </c>
      <c r="K547" s="30">
        <v>316</v>
      </c>
      <c r="L547" s="30">
        <v>-2.4</v>
      </c>
      <c r="M547" s="30">
        <v>365</v>
      </c>
      <c r="N547" s="30">
        <v>-0.8</v>
      </c>
      <c r="O547" s="30">
        <v>88</v>
      </c>
      <c r="P547" s="30">
        <v>88</v>
      </c>
      <c r="Q547" s="30">
        <v>170</v>
      </c>
      <c r="R547" s="30" t="s">
        <v>150</v>
      </c>
      <c r="S547" s="30">
        <v>9.9</v>
      </c>
      <c r="T547" s="30">
        <v>8</v>
      </c>
      <c r="U547" s="32">
        <v>0</v>
      </c>
      <c r="Y547" s="31" t="s">
        <v>158</v>
      </c>
      <c r="Z547" s="30">
        <v>-8.6999999999999993</v>
      </c>
      <c r="AA547" s="30">
        <v>-9.6999999999999993</v>
      </c>
      <c r="AB547" s="30">
        <v>-7.2</v>
      </c>
      <c r="AC547" s="30">
        <v>-4.8</v>
      </c>
      <c r="AD547" s="30">
        <v>-0.7</v>
      </c>
      <c r="AE547" s="30">
        <v>4.4000000000000004</v>
      </c>
      <c r="AF547" s="30">
        <v>8.9</v>
      </c>
      <c r="AG547" s="30">
        <v>8.5</v>
      </c>
      <c r="AH547" s="30">
        <v>6</v>
      </c>
      <c r="AI547" s="30">
        <v>1.7</v>
      </c>
      <c r="AJ547" s="30">
        <v>-2.2999999999999998</v>
      </c>
      <c r="AK547" s="30">
        <v>-5.5</v>
      </c>
      <c r="AL547" s="30">
        <v>-0.8</v>
      </c>
    </row>
    <row r="548" spans="1:38" x14ac:dyDescent="0.25">
      <c r="A548" s="31" t="s">
        <v>157</v>
      </c>
      <c r="B548" s="30">
        <v>-49</v>
      </c>
      <c r="C548" s="30">
        <v>-47</v>
      </c>
      <c r="D548" s="30">
        <v>-43</v>
      </c>
      <c r="E548" s="30">
        <v>-41</v>
      </c>
      <c r="F548" s="30">
        <v>-23</v>
      </c>
      <c r="G548" s="30">
        <v>-51</v>
      </c>
      <c r="H548" s="30">
        <v>10</v>
      </c>
      <c r="I548" s="30">
        <v>215</v>
      </c>
      <c r="J548" s="30">
        <v>-10.7</v>
      </c>
      <c r="K548" s="30">
        <v>285</v>
      </c>
      <c r="L548" s="30">
        <v>-7.1</v>
      </c>
      <c r="M548" s="30">
        <v>309</v>
      </c>
      <c r="N548" s="30">
        <v>-5.8</v>
      </c>
      <c r="O548" s="30">
        <v>82</v>
      </c>
      <c r="P548" s="30">
        <v>81</v>
      </c>
      <c r="Q548" s="30">
        <v>148</v>
      </c>
      <c r="R548" s="30" t="s">
        <v>155</v>
      </c>
      <c r="S548" s="30" t="s">
        <v>41</v>
      </c>
      <c r="T548" s="30">
        <v>3.7</v>
      </c>
      <c r="U548" s="32">
        <v>0</v>
      </c>
      <c r="Y548" s="31" t="s">
        <v>157</v>
      </c>
      <c r="Z548" s="30">
        <v>-17.3</v>
      </c>
      <c r="AA548" s="30">
        <v>-17.8</v>
      </c>
      <c r="AB548" s="30">
        <v>-12.6</v>
      </c>
      <c r="AC548" s="30">
        <v>-5.4</v>
      </c>
      <c r="AD548" s="30">
        <v>0.9</v>
      </c>
      <c r="AE548" s="30">
        <v>8.4</v>
      </c>
      <c r="AF548" s="30">
        <v>12.9</v>
      </c>
      <c r="AG548" s="30">
        <v>10.9</v>
      </c>
      <c r="AH548" s="30">
        <v>5.6</v>
      </c>
      <c r="AI548" s="30">
        <v>-1.8</v>
      </c>
      <c r="AJ548" s="30">
        <v>-9</v>
      </c>
      <c r="AK548" s="30">
        <v>-13.5</v>
      </c>
      <c r="AL548" s="30">
        <v>-3.2</v>
      </c>
    </row>
    <row r="549" spans="1:38" x14ac:dyDescent="0.25">
      <c r="A549" s="31" t="s">
        <v>973</v>
      </c>
      <c r="B549" s="30">
        <v>-44</v>
      </c>
      <c r="C549" s="30">
        <v>-43</v>
      </c>
      <c r="D549" s="30">
        <v>-41</v>
      </c>
      <c r="E549" s="30">
        <v>-39</v>
      </c>
      <c r="F549" s="30">
        <v>-20</v>
      </c>
      <c r="G549" s="30">
        <v>-48</v>
      </c>
      <c r="H549" s="30">
        <v>9</v>
      </c>
      <c r="I549" s="30">
        <v>218</v>
      </c>
      <c r="J549" s="30">
        <v>-11.4</v>
      </c>
      <c r="K549" s="30">
        <v>289</v>
      </c>
      <c r="L549" s="30">
        <v>-7.5</v>
      </c>
      <c r="M549" s="30">
        <v>309</v>
      </c>
      <c r="N549" s="30">
        <v>-6.5</v>
      </c>
      <c r="O549" s="30">
        <v>82</v>
      </c>
      <c r="P549" s="30">
        <v>82</v>
      </c>
      <c r="Q549" s="30">
        <v>132</v>
      </c>
      <c r="R549" s="30" t="s">
        <v>150</v>
      </c>
      <c r="S549" s="30">
        <v>4.3</v>
      </c>
      <c r="T549" s="30">
        <v>4.2</v>
      </c>
      <c r="U549" s="32">
        <v>0</v>
      </c>
      <c r="Y549" s="31" t="s">
        <v>156</v>
      </c>
      <c r="Z549" s="30">
        <v>-18.100000000000001</v>
      </c>
      <c r="AA549" s="30">
        <v>-17.399999999999999</v>
      </c>
      <c r="AB549" s="30">
        <v>-11.2</v>
      </c>
      <c r="AC549" s="30">
        <v>-7</v>
      </c>
      <c r="AD549" s="30">
        <v>0</v>
      </c>
      <c r="AE549" s="30">
        <v>8</v>
      </c>
      <c r="AF549" s="30">
        <v>13.3</v>
      </c>
      <c r="AG549" s="30">
        <v>10.4</v>
      </c>
      <c r="AH549" s="30">
        <v>5.8</v>
      </c>
      <c r="AI549" s="30">
        <v>-1.6</v>
      </c>
      <c r="AJ549" s="30">
        <v>-9.5</v>
      </c>
      <c r="AK549" s="30">
        <v>-13.8</v>
      </c>
      <c r="AL549" s="30">
        <v>-3.4</v>
      </c>
    </row>
    <row r="550" spans="1:38" x14ac:dyDescent="0.25">
      <c r="A550" s="31" t="s">
        <v>154</v>
      </c>
      <c r="B550" s="30">
        <v>-39</v>
      </c>
      <c r="C550" s="30">
        <v>-37</v>
      </c>
      <c r="D550" s="30">
        <v>-34</v>
      </c>
      <c r="E550" s="30">
        <v>-32</v>
      </c>
      <c r="F550" s="30">
        <v>-22</v>
      </c>
      <c r="G550" s="30">
        <v>-40</v>
      </c>
      <c r="H550" s="30">
        <v>8.6</v>
      </c>
      <c r="I550" s="30">
        <v>181</v>
      </c>
      <c r="J550" s="30">
        <v>-8.4</v>
      </c>
      <c r="K550" s="30">
        <v>330</v>
      </c>
      <c r="L550" s="30">
        <v>-6.2</v>
      </c>
      <c r="M550" s="30">
        <v>365</v>
      </c>
      <c r="N550" s="30">
        <v>-4.5</v>
      </c>
      <c r="O550" s="30">
        <v>86</v>
      </c>
      <c r="P550" s="30">
        <v>86</v>
      </c>
      <c r="Q550" s="30">
        <v>167</v>
      </c>
      <c r="R550" s="30" t="s">
        <v>155</v>
      </c>
      <c r="S550" s="30" t="s">
        <v>41</v>
      </c>
      <c r="T550" s="30">
        <v>6.6</v>
      </c>
      <c r="U550" s="32">
        <v>0</v>
      </c>
      <c r="Y550" s="31" t="s">
        <v>154</v>
      </c>
      <c r="Z550" s="30">
        <v>-15.5</v>
      </c>
      <c r="AA550" s="30">
        <v>-16.899999999999999</v>
      </c>
      <c r="AB550" s="30">
        <v>-14.6</v>
      </c>
      <c r="AC550" s="30">
        <v>-8.6</v>
      </c>
      <c r="AD550" s="30">
        <v>-2.9</v>
      </c>
      <c r="AE550" s="30">
        <v>-2.5</v>
      </c>
      <c r="AF550" s="30">
        <v>8.3000000000000007</v>
      </c>
      <c r="AG550" s="30">
        <v>8.4</v>
      </c>
      <c r="AH550" s="30">
        <v>5.0999999999999996</v>
      </c>
      <c r="AI550" s="30">
        <v>-1</v>
      </c>
      <c r="AJ550" s="30">
        <v>-6.9</v>
      </c>
      <c r="AK550" s="30">
        <v>-11.7</v>
      </c>
      <c r="AL550" s="30">
        <v>-4.5</v>
      </c>
    </row>
    <row r="551" spans="1:38" x14ac:dyDescent="0.25">
      <c r="A551" s="31" t="s">
        <v>153</v>
      </c>
      <c r="B551" s="30">
        <v>-48</v>
      </c>
      <c r="C551" s="30">
        <v>-46</v>
      </c>
      <c r="D551" s="30">
        <v>-43</v>
      </c>
      <c r="E551" s="30">
        <v>-42</v>
      </c>
      <c r="F551" s="30">
        <v>-25</v>
      </c>
      <c r="G551" s="30">
        <v>-53</v>
      </c>
      <c r="H551" s="30">
        <v>9.5</v>
      </c>
      <c r="I551" s="30">
        <v>229</v>
      </c>
      <c r="J551" s="30">
        <v>-13.3</v>
      </c>
      <c r="K551" s="30">
        <v>296</v>
      </c>
      <c r="L551" s="30">
        <v>-8.6</v>
      </c>
      <c r="M551" s="30">
        <v>318</v>
      </c>
      <c r="N551" s="30">
        <v>-7.3</v>
      </c>
      <c r="O551" s="30">
        <v>83</v>
      </c>
      <c r="P551" s="30">
        <v>82</v>
      </c>
      <c r="Q551" s="30">
        <v>118</v>
      </c>
      <c r="R551" s="30" t="s">
        <v>150</v>
      </c>
      <c r="S551" s="30">
        <v>7.2</v>
      </c>
      <c r="T551" s="30">
        <v>4.4000000000000004</v>
      </c>
      <c r="U551" s="32">
        <v>0</v>
      </c>
      <c r="Y551" s="31" t="s">
        <v>152</v>
      </c>
      <c r="Z551" s="30">
        <v>-20.399999999999999</v>
      </c>
      <c r="AA551" s="30">
        <v>-19.7</v>
      </c>
      <c r="AB551" s="30">
        <v>-13</v>
      </c>
      <c r="AC551" s="30">
        <v>-8.6</v>
      </c>
      <c r="AD551" s="30">
        <v>-0.8</v>
      </c>
      <c r="AE551" s="30">
        <v>8.1</v>
      </c>
      <c r="AF551" s="30">
        <v>13.3</v>
      </c>
      <c r="AG551" s="30">
        <v>9.9</v>
      </c>
      <c r="AH551" s="30">
        <v>4.9000000000000004</v>
      </c>
      <c r="AI551" s="30">
        <v>-3.4</v>
      </c>
      <c r="AJ551" s="30">
        <v>-12.1</v>
      </c>
      <c r="AK551" s="30">
        <v>-16.600000000000001</v>
      </c>
      <c r="AL551" s="30">
        <v>-4.9000000000000004</v>
      </c>
    </row>
    <row r="552" spans="1:38" ht="25.5" x14ac:dyDescent="0.25">
      <c r="A552" s="33" t="s">
        <v>151</v>
      </c>
      <c r="B552" s="70"/>
      <c r="C552" s="70"/>
      <c r="D552" s="70"/>
      <c r="E552" s="70"/>
      <c r="F552" s="70"/>
      <c r="G552" s="70"/>
      <c r="H552" s="70"/>
      <c r="I552" s="70"/>
      <c r="J552" s="70"/>
      <c r="K552" s="70"/>
      <c r="L552" s="70"/>
      <c r="M552" s="70"/>
      <c r="N552" s="70"/>
      <c r="O552" s="70"/>
      <c r="P552" s="70"/>
      <c r="Q552" s="70"/>
      <c r="R552" s="70"/>
      <c r="S552" s="70"/>
      <c r="T552" s="70"/>
      <c r="U552" s="34"/>
      <c r="Y552" s="33" t="s">
        <v>151</v>
      </c>
      <c r="Z552" s="70"/>
      <c r="AA552" s="70"/>
      <c r="AB552" s="70"/>
      <c r="AC552" s="70"/>
      <c r="AD552" s="70"/>
      <c r="AE552" s="70"/>
      <c r="AF552" s="70"/>
      <c r="AG552" s="70"/>
      <c r="AH552" s="70"/>
      <c r="AI552" s="70"/>
      <c r="AJ552" s="70"/>
      <c r="AK552" s="70"/>
      <c r="AL552" s="70"/>
    </row>
    <row r="553" spans="1:38" x14ac:dyDescent="0.25">
      <c r="A553" s="31" t="s">
        <v>149</v>
      </c>
      <c r="B553" s="30">
        <v>-37</v>
      </c>
      <c r="C553" s="30">
        <v>-34</v>
      </c>
      <c r="D553" s="30">
        <v>-34</v>
      </c>
      <c r="E553" s="30">
        <v>-31</v>
      </c>
      <c r="F553" s="30">
        <v>-17</v>
      </c>
      <c r="G553" s="30">
        <v>-46</v>
      </c>
      <c r="H553" s="30">
        <v>8.3000000000000007</v>
      </c>
      <c r="I553" s="30">
        <v>152</v>
      </c>
      <c r="J553" s="30">
        <v>-7.8</v>
      </c>
      <c r="K553" s="30">
        <v>221</v>
      </c>
      <c r="L553" s="30">
        <v>-4</v>
      </c>
      <c r="M553" s="30">
        <v>239</v>
      </c>
      <c r="N553" s="30">
        <v>-2.8</v>
      </c>
      <c r="O553" s="30">
        <v>83</v>
      </c>
      <c r="P553" s="30">
        <v>82</v>
      </c>
      <c r="Q553" s="30">
        <v>174</v>
      </c>
      <c r="R553" s="30" t="s">
        <v>150</v>
      </c>
      <c r="S553" s="30">
        <v>5.5</v>
      </c>
      <c r="T553" s="30">
        <v>4.3</v>
      </c>
      <c r="U553" s="32">
        <v>0</v>
      </c>
      <c r="Y553" s="31" t="s">
        <v>149</v>
      </c>
      <c r="Z553" s="30">
        <v>-11.9</v>
      </c>
      <c r="AA553" s="30">
        <v>-10.7</v>
      </c>
      <c r="AB553" s="30">
        <v>-5.0999999999999996</v>
      </c>
      <c r="AC553" s="30">
        <v>3.7</v>
      </c>
      <c r="AD553" s="30">
        <v>10.9</v>
      </c>
      <c r="AE553" s="30">
        <v>15.7</v>
      </c>
      <c r="AF553" s="30">
        <v>17.600000000000001</v>
      </c>
      <c r="AG553" s="30">
        <v>16</v>
      </c>
      <c r="AH553" s="30">
        <v>10</v>
      </c>
      <c r="AI553" s="30">
        <v>3.4</v>
      </c>
      <c r="AJ553" s="30">
        <v>-2.7</v>
      </c>
      <c r="AK553" s="30">
        <v>-8.1</v>
      </c>
      <c r="AL553" s="30">
        <v>3.2</v>
      </c>
    </row>
    <row r="554" spans="1:38" x14ac:dyDescent="0.25">
      <c r="A554" s="33" t="s">
        <v>148</v>
      </c>
      <c r="B554" s="70"/>
      <c r="C554" s="70"/>
      <c r="D554" s="70"/>
      <c r="E554" s="70"/>
      <c r="F554" s="70"/>
      <c r="G554" s="70"/>
      <c r="H554" s="70"/>
      <c r="I554" s="70"/>
      <c r="J554" s="70"/>
      <c r="K554" s="70"/>
      <c r="L554" s="70"/>
      <c r="M554" s="70"/>
      <c r="N554" s="70"/>
      <c r="O554" s="70"/>
      <c r="P554" s="70"/>
      <c r="Q554" s="70"/>
      <c r="R554" s="70"/>
      <c r="S554" s="70"/>
      <c r="T554" s="70"/>
      <c r="U554" s="34"/>
      <c r="Y554" s="33" t="s">
        <v>148</v>
      </c>
      <c r="Z554" s="70"/>
      <c r="AA554" s="70"/>
      <c r="AB554" s="70"/>
      <c r="AC554" s="70"/>
      <c r="AD554" s="70"/>
      <c r="AE554" s="70"/>
      <c r="AF554" s="70"/>
      <c r="AG554" s="70"/>
      <c r="AH554" s="70"/>
      <c r="AI554" s="70"/>
      <c r="AJ554" s="70"/>
      <c r="AK554" s="70"/>
      <c r="AL554" s="70"/>
    </row>
    <row r="555" spans="1:38" x14ac:dyDescent="0.25">
      <c r="A555" s="31" t="s">
        <v>147</v>
      </c>
      <c r="B555" s="30">
        <v>-24</v>
      </c>
      <c r="C555" s="30">
        <v>-22</v>
      </c>
      <c r="D555" s="30">
        <v>-20</v>
      </c>
      <c r="E555" s="30">
        <v>-18</v>
      </c>
      <c r="F555" s="30">
        <v>-7</v>
      </c>
      <c r="G555" s="30">
        <v>-27</v>
      </c>
      <c r="H555" s="30" t="s">
        <v>41</v>
      </c>
      <c r="I555" s="30">
        <v>105</v>
      </c>
      <c r="J555" s="30">
        <v>-2.6</v>
      </c>
      <c r="K555" s="30">
        <v>210</v>
      </c>
      <c r="L555" s="30">
        <v>0.7</v>
      </c>
      <c r="M555" s="30">
        <v>242</v>
      </c>
      <c r="N555" s="30">
        <v>1.7</v>
      </c>
      <c r="O555" s="30">
        <v>81</v>
      </c>
      <c r="P555" s="30" t="s">
        <v>41</v>
      </c>
      <c r="Q555" s="30">
        <v>638</v>
      </c>
      <c r="R555" s="30" t="s">
        <v>140</v>
      </c>
      <c r="S555" s="30" t="s">
        <v>41</v>
      </c>
      <c r="T555" s="30" t="s">
        <v>41</v>
      </c>
      <c r="U555" s="32">
        <v>0</v>
      </c>
      <c r="Y555" s="31" t="s">
        <v>147</v>
      </c>
      <c r="Z555" s="30">
        <v>-3.6</v>
      </c>
      <c r="AA555" s="30">
        <v>-3.3</v>
      </c>
      <c r="AB555" s="30">
        <v>-0.7</v>
      </c>
      <c r="AC555" s="30">
        <v>4.9000000000000004</v>
      </c>
      <c r="AD555" s="30">
        <v>9.6</v>
      </c>
      <c r="AE555" s="30">
        <v>13</v>
      </c>
      <c r="AF555" s="30">
        <v>15.5</v>
      </c>
      <c r="AG555" s="30">
        <v>15.1</v>
      </c>
      <c r="AH555" s="30">
        <v>11</v>
      </c>
      <c r="AI555" s="30">
        <v>6.7</v>
      </c>
      <c r="AJ555" s="30">
        <v>2.5</v>
      </c>
      <c r="AK555" s="30">
        <v>-1.6</v>
      </c>
      <c r="AL555" s="30">
        <v>5.7</v>
      </c>
    </row>
    <row r="556" spans="1:38" x14ac:dyDescent="0.25">
      <c r="A556" s="31" t="s">
        <v>145</v>
      </c>
      <c r="B556" s="30">
        <v>-27</v>
      </c>
      <c r="C556" s="30">
        <v>-25</v>
      </c>
      <c r="D556" s="30">
        <v>-23</v>
      </c>
      <c r="E556" s="30">
        <v>-21</v>
      </c>
      <c r="F556" s="30">
        <v>-10</v>
      </c>
      <c r="G556" s="30">
        <v>-33</v>
      </c>
      <c r="H556" s="30" t="s">
        <v>41</v>
      </c>
      <c r="I556" s="30">
        <v>55</v>
      </c>
      <c r="J556" s="30">
        <v>-1.1000000000000001</v>
      </c>
      <c r="K556" s="30">
        <v>157</v>
      </c>
      <c r="L556" s="30">
        <v>2</v>
      </c>
      <c r="M556" s="30">
        <v>177</v>
      </c>
      <c r="N556" s="30">
        <v>2.8</v>
      </c>
      <c r="O556" s="30">
        <v>86</v>
      </c>
      <c r="P556" s="30" t="s">
        <v>41</v>
      </c>
      <c r="Q556" s="30">
        <v>160</v>
      </c>
      <c r="R556" s="30" t="s">
        <v>146</v>
      </c>
      <c r="S556" s="30" t="s">
        <v>41</v>
      </c>
      <c r="T556" s="30" t="s">
        <v>41</v>
      </c>
      <c r="U556" s="32">
        <v>0</v>
      </c>
      <c r="Y556" s="31" t="s">
        <v>145</v>
      </c>
      <c r="Z556" s="30">
        <v>-1.5</v>
      </c>
      <c r="AA556" s="30">
        <v>-0.5</v>
      </c>
      <c r="AB556" s="30">
        <v>3.1</v>
      </c>
      <c r="AC556" s="30">
        <v>10.4</v>
      </c>
      <c r="AD556" s="30">
        <v>15.7</v>
      </c>
      <c r="AE556" s="30">
        <v>20</v>
      </c>
      <c r="AF556" s="30">
        <v>22.7</v>
      </c>
      <c r="AG556" s="30">
        <v>21.8</v>
      </c>
      <c r="AH556" s="30">
        <v>16.7</v>
      </c>
      <c r="AI556" s="30">
        <v>10.7</v>
      </c>
      <c r="AJ556" s="30">
        <v>5.7</v>
      </c>
      <c r="AK556" s="30">
        <v>1.6</v>
      </c>
      <c r="AL556" s="30">
        <v>10.5</v>
      </c>
    </row>
    <row r="557" spans="1:38" x14ac:dyDescent="0.25">
      <c r="A557" s="31" t="s">
        <v>144</v>
      </c>
      <c r="B557" s="30">
        <v>-22</v>
      </c>
      <c r="C557" s="30">
        <v>-20</v>
      </c>
      <c r="D557" s="30">
        <v>-18</v>
      </c>
      <c r="E557" s="30">
        <v>-15</v>
      </c>
      <c r="F557" s="30">
        <v>-4</v>
      </c>
      <c r="G557" s="30">
        <v>-30</v>
      </c>
      <c r="H557" s="30">
        <v>7.1</v>
      </c>
      <c r="I557" s="30">
        <v>37</v>
      </c>
      <c r="J557" s="30">
        <v>-0.5</v>
      </c>
      <c r="K557" s="30">
        <v>154</v>
      </c>
      <c r="L557" s="30">
        <v>2.6</v>
      </c>
      <c r="M557" s="30">
        <v>175</v>
      </c>
      <c r="N557" s="30">
        <v>3.4</v>
      </c>
      <c r="O557" s="30">
        <v>84</v>
      </c>
      <c r="P557" s="30" t="s">
        <v>41</v>
      </c>
      <c r="Q557" s="30">
        <v>210</v>
      </c>
      <c r="R557" s="30" t="s">
        <v>138</v>
      </c>
      <c r="S557" s="30">
        <v>7.4</v>
      </c>
      <c r="T557" s="30" t="s">
        <v>41</v>
      </c>
      <c r="U557" s="32">
        <v>0</v>
      </c>
      <c r="Y557" s="31" t="s">
        <v>144</v>
      </c>
      <c r="Z557" s="30">
        <v>-0.5</v>
      </c>
      <c r="AA557" s="30">
        <v>0.4</v>
      </c>
      <c r="AB557" s="30">
        <v>3.6</v>
      </c>
      <c r="AC557" s="30">
        <v>10.199999999999999</v>
      </c>
      <c r="AD557" s="30">
        <v>15.2</v>
      </c>
      <c r="AE557" s="30">
        <v>19.2</v>
      </c>
      <c r="AF557" s="30">
        <v>21.8</v>
      </c>
      <c r="AG557" s="30">
        <v>21.3</v>
      </c>
      <c r="AH557" s="30">
        <v>16.7</v>
      </c>
      <c r="AI557" s="30">
        <v>11</v>
      </c>
      <c r="AJ557" s="30">
        <v>6.1</v>
      </c>
      <c r="AK557" s="30">
        <v>2.1</v>
      </c>
      <c r="AL557" s="30">
        <v>10.6</v>
      </c>
    </row>
    <row r="558" spans="1:38" x14ac:dyDescent="0.25">
      <c r="A558" s="31" t="s">
        <v>143</v>
      </c>
      <c r="B558" s="30">
        <v>-22</v>
      </c>
      <c r="C558" s="30">
        <v>-19</v>
      </c>
      <c r="D558" s="30">
        <v>-17</v>
      </c>
      <c r="E558" s="30">
        <v>-15</v>
      </c>
      <c r="F558" s="30">
        <v>-3</v>
      </c>
      <c r="G558" s="30">
        <v>-25</v>
      </c>
      <c r="H558" s="30" t="s">
        <v>41</v>
      </c>
      <c r="I558" s="30">
        <v>0</v>
      </c>
      <c r="J558" s="31"/>
      <c r="K558" s="30">
        <v>142</v>
      </c>
      <c r="L558" s="30">
        <v>3.4</v>
      </c>
      <c r="M558" s="30">
        <v>163</v>
      </c>
      <c r="N558" s="30">
        <v>4.0999999999999996</v>
      </c>
      <c r="O558" s="30">
        <v>82</v>
      </c>
      <c r="P558" s="30" t="s">
        <v>41</v>
      </c>
      <c r="Q558" s="30">
        <v>185</v>
      </c>
      <c r="R558" s="30" t="s">
        <v>140</v>
      </c>
      <c r="S558" s="30">
        <v>6.5</v>
      </c>
      <c r="T558" s="30" t="s">
        <v>41</v>
      </c>
      <c r="U558" s="32">
        <v>0</v>
      </c>
      <c r="Y558" s="31" t="s">
        <v>143</v>
      </c>
      <c r="Z558" s="30">
        <v>0.8</v>
      </c>
      <c r="AA558" s="30">
        <v>1.4</v>
      </c>
      <c r="AB558" s="30">
        <v>4.4000000000000004</v>
      </c>
      <c r="AC558" s="30">
        <v>10.6</v>
      </c>
      <c r="AD558" s="30">
        <v>16.100000000000001</v>
      </c>
      <c r="AE558" s="30">
        <v>20.8</v>
      </c>
      <c r="AF558" s="30">
        <v>23.4</v>
      </c>
      <c r="AG558" s="30">
        <v>23.1</v>
      </c>
      <c r="AH558" s="30">
        <v>18.399999999999999</v>
      </c>
      <c r="AI558" s="30">
        <v>12.4</v>
      </c>
      <c r="AJ558" s="30">
        <v>7.6</v>
      </c>
      <c r="AK558" s="30">
        <v>3.8</v>
      </c>
      <c r="AL558" s="30">
        <v>11.9</v>
      </c>
    </row>
    <row r="559" spans="1:38" x14ac:dyDescent="0.25">
      <c r="A559" s="31" t="s">
        <v>141</v>
      </c>
      <c r="B559" s="30">
        <v>-10</v>
      </c>
      <c r="C559" s="30">
        <v>-8</v>
      </c>
      <c r="D559" s="30">
        <v>-7</v>
      </c>
      <c r="E559" s="30">
        <v>-6</v>
      </c>
      <c r="F559" s="30">
        <v>0</v>
      </c>
      <c r="G559" s="30">
        <v>-15</v>
      </c>
      <c r="H559" s="30" t="s">
        <v>41</v>
      </c>
      <c r="I559" s="30">
        <v>0</v>
      </c>
      <c r="J559" s="31"/>
      <c r="K559" s="30">
        <v>126</v>
      </c>
      <c r="L559" s="30">
        <v>5.0999999999999996</v>
      </c>
      <c r="M559" s="30">
        <v>152</v>
      </c>
      <c r="N559" s="30">
        <v>5.9</v>
      </c>
      <c r="O559" s="30">
        <v>74</v>
      </c>
      <c r="P559" s="31"/>
      <c r="Q559" s="30">
        <v>355</v>
      </c>
      <c r="R559" s="30" t="s">
        <v>142</v>
      </c>
      <c r="S559" s="30" t="s">
        <v>41</v>
      </c>
      <c r="T559" s="30" t="s">
        <v>41</v>
      </c>
      <c r="U559" s="32">
        <v>0</v>
      </c>
      <c r="Y559" s="31" t="s">
        <v>141</v>
      </c>
      <c r="Z559" s="30">
        <v>3.9</v>
      </c>
      <c r="AA559" s="30">
        <v>4.2</v>
      </c>
      <c r="AB559" s="30">
        <v>6</v>
      </c>
      <c r="AC559" s="30">
        <v>10.8</v>
      </c>
      <c r="AD559" s="30">
        <v>15.7</v>
      </c>
      <c r="AE559" s="30">
        <v>20.2</v>
      </c>
      <c r="AF559" s="30">
        <v>23.6</v>
      </c>
      <c r="AG559" s="30">
        <v>23.2</v>
      </c>
      <c r="AH559" s="30">
        <v>19</v>
      </c>
      <c r="AI559" s="30">
        <v>13.6</v>
      </c>
      <c r="AJ559" s="30">
        <v>9.5</v>
      </c>
      <c r="AK559" s="30">
        <v>6.1</v>
      </c>
      <c r="AL559" s="30">
        <v>12.9</v>
      </c>
    </row>
    <row r="560" spans="1:38" x14ac:dyDescent="0.25">
      <c r="A560" s="31" t="s">
        <v>139</v>
      </c>
      <c r="B560" s="30">
        <v>-20</v>
      </c>
      <c r="C560" s="30">
        <v>-17</v>
      </c>
      <c r="D560" s="30">
        <v>-16</v>
      </c>
      <c r="E560" s="30">
        <v>-13</v>
      </c>
      <c r="F560" s="30">
        <v>-3.1</v>
      </c>
      <c r="G560" s="30">
        <v>-23.7</v>
      </c>
      <c r="H560" s="30">
        <v>5.9</v>
      </c>
      <c r="I560" s="30">
        <v>38</v>
      </c>
      <c r="J560" s="30">
        <v>-0.1</v>
      </c>
      <c r="K560" s="30">
        <v>155</v>
      </c>
      <c r="L560" s="30">
        <v>2.6</v>
      </c>
      <c r="M560" s="30">
        <v>175</v>
      </c>
      <c r="N560" s="30">
        <v>3.3</v>
      </c>
      <c r="O560" s="30">
        <v>85</v>
      </c>
      <c r="P560" s="30">
        <v>59</v>
      </c>
      <c r="Q560" s="30">
        <v>183</v>
      </c>
      <c r="R560" s="30" t="s">
        <v>140</v>
      </c>
      <c r="S560" s="30" t="s">
        <v>41</v>
      </c>
      <c r="T560" s="30">
        <v>5</v>
      </c>
      <c r="U560" s="32">
        <v>0</v>
      </c>
      <c r="Y560" s="31" t="s">
        <v>139</v>
      </c>
      <c r="Z560" s="30">
        <v>0</v>
      </c>
      <c r="AA560" s="30">
        <v>0.4</v>
      </c>
      <c r="AB560" s="30">
        <v>3.7</v>
      </c>
      <c r="AC560" s="30">
        <v>9.9</v>
      </c>
      <c r="AD560" s="30">
        <v>15.5</v>
      </c>
      <c r="AE560" s="30">
        <v>20.2</v>
      </c>
      <c r="AF560" s="30">
        <v>23.2</v>
      </c>
      <c r="AG560" s="30">
        <v>22.7</v>
      </c>
      <c r="AH560" s="30">
        <v>17.7</v>
      </c>
      <c r="AI560" s="30">
        <v>11.9</v>
      </c>
      <c r="AJ560" s="30">
        <v>6.7</v>
      </c>
      <c r="AK560" s="30">
        <v>2.6</v>
      </c>
      <c r="AL560" s="30">
        <v>11.2</v>
      </c>
    </row>
    <row r="561" spans="1:38" x14ac:dyDescent="0.25">
      <c r="A561" s="38" t="s">
        <v>137</v>
      </c>
      <c r="B561" s="30">
        <v>-18</v>
      </c>
      <c r="C561" s="30">
        <v>-16</v>
      </c>
      <c r="D561" s="30">
        <v>-14</v>
      </c>
      <c r="E561" s="30">
        <v>-11</v>
      </c>
      <c r="F561" s="30">
        <v>-0.1</v>
      </c>
      <c r="G561" s="30">
        <v>-22</v>
      </c>
      <c r="H561" s="30">
        <v>6.4</v>
      </c>
      <c r="I561" s="30">
        <v>0</v>
      </c>
      <c r="J561" s="30" t="s">
        <v>41</v>
      </c>
      <c r="K561" s="30">
        <v>136</v>
      </c>
      <c r="L561" s="30">
        <v>4.7</v>
      </c>
      <c r="M561" s="30">
        <v>163</v>
      </c>
      <c r="N561" s="30">
        <v>5.4</v>
      </c>
      <c r="O561" s="30">
        <v>78</v>
      </c>
      <c r="P561" s="30">
        <v>62</v>
      </c>
      <c r="Q561" s="30">
        <v>204</v>
      </c>
      <c r="R561" s="30" t="s">
        <v>138</v>
      </c>
      <c r="S561" s="30" t="s">
        <v>41</v>
      </c>
      <c r="T561" s="30">
        <v>4.5</v>
      </c>
      <c r="U561" s="32">
        <v>0</v>
      </c>
      <c r="Y561" s="31" t="s">
        <v>137</v>
      </c>
      <c r="Z561" s="30">
        <v>3.1</v>
      </c>
      <c r="AA561" s="30">
        <v>3.6</v>
      </c>
      <c r="AB561" s="30">
        <v>5.7</v>
      </c>
      <c r="AC561" s="30">
        <v>10.5</v>
      </c>
      <c r="AD561" s="30">
        <v>15.2</v>
      </c>
      <c r="AE561" s="30">
        <v>19.7</v>
      </c>
      <c r="AF561" s="30">
        <v>22</v>
      </c>
      <c r="AG561" s="30">
        <v>21.8</v>
      </c>
      <c r="AH561" s="30">
        <v>18</v>
      </c>
      <c r="AI561" s="30">
        <v>12.8</v>
      </c>
      <c r="AJ561" s="30">
        <v>9</v>
      </c>
      <c r="AK561" s="30">
        <v>5.5</v>
      </c>
      <c r="AL561" s="30">
        <v>12.2</v>
      </c>
    </row>
    <row r="562" spans="1:38" x14ac:dyDescent="0.25">
      <c r="A562" t="s">
        <v>1005</v>
      </c>
      <c r="R562" s="27"/>
      <c r="S562" s="29"/>
      <c r="U562"/>
      <c r="V562"/>
    </row>
    <row r="563" spans="1:38" x14ac:dyDescent="0.25">
      <c r="A563" s="44"/>
      <c r="E563" s="44"/>
      <c r="R563" s="27"/>
      <c r="S563" s="45"/>
      <c r="U563" s="46"/>
      <c r="V563"/>
      <c r="Z563" s="44"/>
      <c r="AL563" s="44"/>
    </row>
    <row r="564" spans="1:38" x14ac:dyDescent="0.25">
      <c r="R564" s="27"/>
      <c r="S564" s="29"/>
      <c r="U564"/>
      <c r="V564"/>
    </row>
  </sheetData>
  <mergeCells count="173">
    <mergeCell ref="B543:T544"/>
    <mergeCell ref="B552:T552"/>
    <mergeCell ref="B554:T554"/>
    <mergeCell ref="B427:T427"/>
    <mergeCell ref="B430:T430"/>
    <mergeCell ref="B456:T456"/>
    <mergeCell ref="B459:T459"/>
    <mergeCell ref="B463:T463"/>
    <mergeCell ref="B465:T465"/>
    <mergeCell ref="B481:T481"/>
    <mergeCell ref="B484:T484"/>
    <mergeCell ref="B492:T492"/>
    <mergeCell ref="B380:T380"/>
    <mergeCell ref="B386:T386"/>
    <mergeCell ref="B388:T388"/>
    <mergeCell ref="B392:T392"/>
    <mergeCell ref="B396:T396"/>
    <mergeCell ref="B402:T402"/>
    <mergeCell ref="B404:T404"/>
    <mergeCell ref="B406:T406"/>
    <mergeCell ref="B423:T423"/>
    <mergeCell ref="B337:T337"/>
    <mergeCell ref="B340:T340"/>
    <mergeCell ref="B344:T344"/>
    <mergeCell ref="B346:T346"/>
    <mergeCell ref="B348:T348"/>
    <mergeCell ref="B352:T352"/>
    <mergeCell ref="B368:T368"/>
    <mergeCell ref="B375:T375"/>
    <mergeCell ref="B377:T377"/>
    <mergeCell ref="B284:T284"/>
    <mergeCell ref="B288:T288"/>
    <mergeCell ref="B291:T291"/>
    <mergeCell ref="B301:T301"/>
    <mergeCell ref="B306:T306"/>
    <mergeCell ref="B310:T310"/>
    <mergeCell ref="B312:T312"/>
    <mergeCell ref="B315:T315"/>
    <mergeCell ref="B320:T320"/>
    <mergeCell ref="B210:T210"/>
    <mergeCell ref="B216:T216"/>
    <mergeCell ref="B243:T243"/>
    <mergeCell ref="B249:T249"/>
    <mergeCell ref="B253:T253"/>
    <mergeCell ref="B261:T261"/>
    <mergeCell ref="B263:T263"/>
    <mergeCell ref="B265:T265"/>
    <mergeCell ref="B269:T269"/>
    <mergeCell ref="B181:T181"/>
    <mergeCell ref="B190:T190"/>
    <mergeCell ref="B194:T194"/>
    <mergeCell ref="B206:T206"/>
    <mergeCell ref="B143:T143"/>
    <mergeCell ref="B145:T145"/>
    <mergeCell ref="B147:T147"/>
    <mergeCell ref="B149:T149"/>
    <mergeCell ref="B151:T151"/>
    <mergeCell ref="B171:T171"/>
    <mergeCell ref="B173:T173"/>
    <mergeCell ref="A13:A15"/>
    <mergeCell ref="B13:C13"/>
    <mergeCell ref="D13:E13"/>
    <mergeCell ref="F13:F15"/>
    <mergeCell ref="G13:G15"/>
    <mergeCell ref="H13:H15"/>
    <mergeCell ref="I13:N13"/>
    <mergeCell ref="Q13:Q15"/>
    <mergeCell ref="M14:N14"/>
    <mergeCell ref="B113:T113"/>
    <mergeCell ref="B116:T116"/>
    <mergeCell ref="A17:T17"/>
    <mergeCell ref="B67:T67"/>
    <mergeCell ref="B70:T70"/>
    <mergeCell ref="B76:T76"/>
    <mergeCell ref="B78:T78"/>
    <mergeCell ref="B80:T80"/>
    <mergeCell ref="B91:T91"/>
    <mergeCell ref="Z265:AL265"/>
    <mergeCell ref="R13:R15"/>
    <mergeCell ref="S13:S15"/>
    <mergeCell ref="T13:T15"/>
    <mergeCell ref="Z18:AL18"/>
    <mergeCell ref="B34:T34"/>
    <mergeCell ref="B59:T59"/>
    <mergeCell ref="B14:B15"/>
    <mergeCell ref="C14:C15"/>
    <mergeCell ref="D14:D15"/>
    <mergeCell ref="E14:E15"/>
    <mergeCell ref="I14:J14"/>
    <mergeCell ref="K14:L14"/>
    <mergeCell ref="O13:O15"/>
    <mergeCell ref="P13:P15"/>
    <mergeCell ref="B18:T18"/>
    <mergeCell ref="B20:T21"/>
    <mergeCell ref="Z21:AL21"/>
    <mergeCell ref="Z34:AL34"/>
    <mergeCell ref="Z59:AL59"/>
    <mergeCell ref="B94:T94"/>
    <mergeCell ref="B101:T101"/>
    <mergeCell ref="B107:T107"/>
    <mergeCell ref="B109:T109"/>
    <mergeCell ref="Z249:AL249"/>
    <mergeCell ref="Z402:AL402"/>
    <mergeCell ref="Z76:AL76"/>
    <mergeCell ref="Z109:AL109"/>
    <mergeCell ref="Z113:AL113"/>
    <mergeCell ref="Z116:AL116"/>
    <mergeCell ref="Z151:AL151"/>
    <mergeCell ref="Z173:AL173"/>
    <mergeCell ref="Z91:AL91"/>
    <mergeCell ref="Z94:AL94"/>
    <mergeCell ref="Z101:AL101"/>
    <mergeCell ref="Z143:AL143"/>
    <mergeCell ref="Z145:AL145"/>
    <mergeCell ref="Z147:AL147"/>
    <mergeCell ref="Z149:AL149"/>
    <mergeCell ref="Z171:AL171"/>
    <mergeCell ref="Z78:AL78"/>
    <mergeCell ref="Z107:AL107"/>
    <mergeCell ref="Z261:AL261"/>
    <mergeCell ref="Z263:AL263"/>
    <mergeCell ref="Z243:AL243"/>
    <mergeCell ref="Z245:AL245"/>
    <mergeCell ref="Z247:AL247"/>
    <mergeCell ref="Z253:AL253"/>
    <mergeCell ref="Z67:AL67"/>
    <mergeCell ref="Z70:AL70"/>
    <mergeCell ref="Z80:AL80"/>
    <mergeCell ref="Z463:AL463"/>
    <mergeCell ref="Z404:AL404"/>
    <mergeCell ref="Z406:AL406"/>
    <mergeCell ref="Z423:AL423"/>
    <mergeCell ref="Z430:AL430"/>
    <mergeCell ref="Z459:AL459"/>
    <mergeCell ref="Z337:AL337"/>
    <mergeCell ref="Z368:AL368"/>
    <mergeCell ref="Z380:AL380"/>
    <mergeCell ref="Z388:AL388"/>
    <mergeCell ref="Z269:AL269"/>
    <mergeCell ref="Z284:AL284"/>
    <mergeCell ref="Z288:AL288"/>
    <mergeCell ref="Z291:AL291"/>
    <mergeCell ref="Z301:AL301"/>
    <mergeCell ref="Z181:AL181"/>
    <mergeCell ref="Z190:AL190"/>
    <mergeCell ref="Z194:AL194"/>
    <mergeCell ref="Z206:AL206"/>
    <mergeCell ref="Z210:AL210"/>
    <mergeCell ref="Z216:AL216"/>
    <mergeCell ref="Z544:AL544"/>
    <mergeCell ref="Z552:AL552"/>
    <mergeCell ref="Z554:AL554"/>
    <mergeCell ref="Z481:AL481"/>
    <mergeCell ref="Z306:AL306"/>
    <mergeCell ref="Z315:AL315"/>
    <mergeCell ref="Z320:AL320"/>
    <mergeCell ref="Z340:AL340"/>
    <mergeCell ref="Z348:AL348"/>
    <mergeCell ref="Z352:AL352"/>
    <mergeCell ref="Z465:AL465"/>
    <mergeCell ref="Z484:AL484"/>
    <mergeCell ref="Z492:AL492"/>
    <mergeCell ref="Z375:AL375"/>
    <mergeCell ref="Z386:AL386"/>
    <mergeCell ref="Z392:AL392"/>
    <mergeCell ref="Z310:AL310"/>
    <mergeCell ref="Z344:AL344"/>
    <mergeCell ref="Z346:AL346"/>
    <mergeCell ref="Z427:AL427"/>
    <mergeCell ref="Z456:AL456"/>
    <mergeCell ref="Z377:AL377"/>
    <mergeCell ref="Z396:AL396"/>
    <mergeCell ref="Z312:AL3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C28"/>
  <sheetViews>
    <sheetView workbookViewId="0">
      <selection activeCell="A563" sqref="A563:XFD563"/>
    </sheetView>
  </sheetViews>
  <sheetFormatPr defaultRowHeight="15" x14ac:dyDescent="0.25"/>
  <sheetData>
    <row r="1" spans="1:3" x14ac:dyDescent="0.25">
      <c r="A1" s="1" t="s">
        <v>136</v>
      </c>
      <c r="B1" s="1" t="s">
        <v>135</v>
      </c>
      <c r="C1" s="1" t="s">
        <v>134</v>
      </c>
    </row>
    <row r="2" spans="1:3" x14ac:dyDescent="0.25">
      <c r="A2" s="28">
        <v>10</v>
      </c>
      <c r="B2" s="28">
        <v>17.2</v>
      </c>
      <c r="C2" s="28">
        <v>3.6</v>
      </c>
    </row>
    <row r="3" spans="1:3" x14ac:dyDescent="0.25">
      <c r="A3" s="28">
        <v>15</v>
      </c>
      <c r="B3" s="28">
        <v>21.3</v>
      </c>
      <c r="C3" s="28">
        <f t="shared" ref="C3:C16" si="0">(B3-A3)/2</f>
        <v>3.1500000000000004</v>
      </c>
    </row>
    <row r="4" spans="1:3" x14ac:dyDescent="0.25">
      <c r="A4" s="28">
        <v>20</v>
      </c>
      <c r="B4" s="28">
        <v>26.9</v>
      </c>
      <c r="C4" s="28">
        <f t="shared" si="0"/>
        <v>3.4499999999999993</v>
      </c>
    </row>
    <row r="5" spans="1:3" x14ac:dyDescent="0.25">
      <c r="A5" s="28">
        <v>25</v>
      </c>
      <c r="B5" s="28">
        <v>33.700000000000003</v>
      </c>
      <c r="C5" s="28">
        <f t="shared" si="0"/>
        <v>4.3500000000000014</v>
      </c>
    </row>
    <row r="6" spans="1:3" x14ac:dyDescent="0.25">
      <c r="A6" s="28">
        <v>32</v>
      </c>
      <c r="B6" s="28">
        <v>42.4</v>
      </c>
      <c r="C6" s="28">
        <v>5.2</v>
      </c>
    </row>
    <row r="7" spans="1:3" x14ac:dyDescent="0.25">
      <c r="A7" s="28">
        <v>40</v>
      </c>
      <c r="B7" s="28">
        <v>48.3</v>
      </c>
      <c r="C7" s="28">
        <f t="shared" si="0"/>
        <v>4.1499999999999986</v>
      </c>
    </row>
    <row r="8" spans="1:3" x14ac:dyDescent="0.25">
      <c r="A8" s="28">
        <v>50</v>
      </c>
      <c r="B8" s="28">
        <v>60.3</v>
      </c>
      <c r="C8" s="28">
        <f t="shared" si="0"/>
        <v>5.1499999999999986</v>
      </c>
    </row>
    <row r="9" spans="1:3" x14ac:dyDescent="0.25">
      <c r="A9" s="28">
        <v>65</v>
      </c>
      <c r="B9" s="28">
        <v>76.099999999999994</v>
      </c>
      <c r="C9" s="28">
        <f t="shared" si="0"/>
        <v>5.5499999999999972</v>
      </c>
    </row>
    <row r="10" spans="1:3" x14ac:dyDescent="0.25">
      <c r="A10" s="28">
        <v>80</v>
      </c>
      <c r="B10" s="28">
        <v>88.9</v>
      </c>
      <c r="C10" s="28">
        <f t="shared" si="0"/>
        <v>4.4500000000000028</v>
      </c>
    </row>
    <row r="11" spans="1:3" x14ac:dyDescent="0.25">
      <c r="A11" s="28">
        <v>100</v>
      </c>
      <c r="B11" s="28">
        <v>114.3</v>
      </c>
      <c r="C11" s="28">
        <f t="shared" si="0"/>
        <v>7.1499999999999986</v>
      </c>
    </row>
    <row r="12" spans="1:3" x14ac:dyDescent="0.25">
      <c r="A12" s="28">
        <v>125</v>
      </c>
      <c r="B12" s="28">
        <v>139.69999999999999</v>
      </c>
      <c r="C12" s="28">
        <f t="shared" si="0"/>
        <v>7.3499999999999943</v>
      </c>
    </row>
    <row r="13" spans="1:3" x14ac:dyDescent="0.25">
      <c r="A13" s="28">
        <v>150</v>
      </c>
      <c r="B13" s="28">
        <v>168.3</v>
      </c>
      <c r="C13" s="28">
        <f t="shared" si="0"/>
        <v>9.1500000000000057</v>
      </c>
    </row>
    <row r="14" spans="1:3" x14ac:dyDescent="0.25">
      <c r="A14" s="28">
        <v>200</v>
      </c>
      <c r="B14" s="28">
        <v>219.1</v>
      </c>
      <c r="C14" s="28">
        <f t="shared" si="0"/>
        <v>9.5499999999999972</v>
      </c>
    </row>
    <row r="15" spans="1:3" x14ac:dyDescent="0.25">
      <c r="A15" s="28">
        <v>250</v>
      </c>
      <c r="B15" s="28">
        <v>273</v>
      </c>
      <c r="C15" s="28">
        <f t="shared" si="0"/>
        <v>11.5</v>
      </c>
    </row>
    <row r="16" spans="1:3" x14ac:dyDescent="0.25">
      <c r="A16" s="28">
        <v>300</v>
      </c>
      <c r="B16" s="28">
        <v>323.89999999999998</v>
      </c>
      <c r="C16" s="28">
        <f t="shared" si="0"/>
        <v>11.949999999999989</v>
      </c>
    </row>
    <row r="17" spans="1:3" x14ac:dyDescent="0.25">
      <c r="A17" s="28">
        <v>350</v>
      </c>
      <c r="B17" s="28">
        <v>374</v>
      </c>
      <c r="C17" s="28">
        <v>12</v>
      </c>
    </row>
    <row r="18" spans="1:3" x14ac:dyDescent="0.25">
      <c r="A18" s="28">
        <v>400</v>
      </c>
      <c r="B18" s="28">
        <v>406.4</v>
      </c>
      <c r="C18" s="28">
        <f>(B18-A18)/2</f>
        <v>3.1999999999999886</v>
      </c>
    </row>
    <row r="19" spans="1:3" x14ac:dyDescent="0.25">
      <c r="A19" s="28">
        <v>450</v>
      </c>
      <c r="B19" s="28">
        <v>407.2</v>
      </c>
      <c r="C19" s="28">
        <v>3.6</v>
      </c>
    </row>
    <row r="20" spans="1:3" x14ac:dyDescent="0.25">
      <c r="A20" s="28">
        <v>500</v>
      </c>
      <c r="B20" s="28">
        <v>508</v>
      </c>
      <c r="C20" s="28">
        <f>(B20-A20)/2</f>
        <v>4</v>
      </c>
    </row>
    <row r="21" spans="1:3" x14ac:dyDescent="0.25">
      <c r="A21" s="28">
        <v>600</v>
      </c>
      <c r="B21" s="28">
        <v>609.6</v>
      </c>
      <c r="C21" s="28">
        <f>(B21-A21)/2</f>
        <v>4.8000000000000114</v>
      </c>
    </row>
    <row r="22" spans="1:3" x14ac:dyDescent="0.25">
      <c r="A22" s="28">
        <v>700</v>
      </c>
      <c r="B22" s="28">
        <v>711.2</v>
      </c>
      <c r="C22" s="28">
        <v>5.6</v>
      </c>
    </row>
    <row r="23" spans="1:3" x14ac:dyDescent="0.25">
      <c r="A23" s="28">
        <v>800</v>
      </c>
      <c r="B23" s="28">
        <v>812.8</v>
      </c>
      <c r="C23" s="28">
        <f>(B23-A23)/2</f>
        <v>6.3999999999999773</v>
      </c>
    </row>
    <row r="24" spans="1:3" x14ac:dyDescent="0.25">
      <c r="A24" s="28">
        <v>900</v>
      </c>
      <c r="B24" s="28">
        <v>914.4</v>
      </c>
      <c r="C24" s="28">
        <v>7.2</v>
      </c>
    </row>
    <row r="25" spans="1:3" x14ac:dyDescent="0.25">
      <c r="A25" s="28">
        <v>1000</v>
      </c>
      <c r="B25" s="28">
        <v>1016</v>
      </c>
      <c r="C25" s="28">
        <f>(B25-A25)/2</f>
        <v>8</v>
      </c>
    </row>
    <row r="26" spans="1:3" x14ac:dyDescent="0.25">
      <c r="A26" s="28">
        <v>1200</v>
      </c>
      <c r="B26" s="28">
        <v>1219.2</v>
      </c>
      <c r="C26" s="28">
        <v>9.6</v>
      </c>
    </row>
    <row r="27" spans="1:3" x14ac:dyDescent="0.25">
      <c r="A27" s="28">
        <v>1400</v>
      </c>
      <c r="B27" s="28">
        <v>1420</v>
      </c>
      <c r="C27" s="28">
        <v>10</v>
      </c>
    </row>
    <row r="28" spans="1:3" x14ac:dyDescent="0.25">
      <c r="A28" s="43"/>
      <c r="B28" s="43"/>
      <c r="C28" s="2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V44"/>
  <sheetViews>
    <sheetView workbookViewId="0">
      <selection activeCell="C16" sqref="C16"/>
    </sheetView>
  </sheetViews>
  <sheetFormatPr defaultRowHeight="15" x14ac:dyDescent="0.25"/>
  <cols>
    <col min="1" max="1" width="55" style="9" customWidth="1"/>
    <col min="2" max="2" width="9.140625" style="66"/>
    <col min="3" max="3" width="19.5703125" style="2" customWidth="1"/>
    <col min="4" max="4" width="19.5703125" style="3" customWidth="1"/>
    <col min="5" max="5" width="9.140625" style="53"/>
    <col min="6" max="6" width="9" style="9" customWidth="1"/>
    <col min="7" max="10" width="9.140625" style="9"/>
    <col min="11" max="11" width="9.140625" style="53"/>
    <col min="12" max="16384" width="9.140625" style="9"/>
  </cols>
  <sheetData>
    <row r="1" spans="1:20" s="55" customFormat="1" ht="30.75" thickBot="1" x14ac:dyDescent="0.3">
      <c r="A1" s="69" t="s">
        <v>1012</v>
      </c>
      <c r="B1" s="65" t="s">
        <v>133</v>
      </c>
      <c r="C1" s="62" t="s">
        <v>21</v>
      </c>
      <c r="D1" s="59" t="s">
        <v>22</v>
      </c>
      <c r="E1" s="57">
        <v>10</v>
      </c>
      <c r="F1" s="55">
        <v>25</v>
      </c>
      <c r="G1" s="55">
        <v>125</v>
      </c>
      <c r="H1" s="55">
        <v>300</v>
      </c>
      <c r="I1" s="55">
        <v>400</v>
      </c>
      <c r="J1" s="55">
        <v>500</v>
      </c>
      <c r="K1" s="58" t="s">
        <v>20</v>
      </c>
    </row>
    <row r="2" spans="1:20" x14ac:dyDescent="0.25">
      <c r="A2" s="9" t="s">
        <v>63</v>
      </c>
      <c r="B2" s="66">
        <v>350</v>
      </c>
      <c r="C2" s="63" t="s">
        <v>24</v>
      </c>
      <c r="D2" s="60">
        <v>7</v>
      </c>
      <c r="E2" s="53">
        <v>3.4000000000000002E-2</v>
      </c>
      <c r="F2" s="47">
        <v>3.6999999999999998E-2</v>
      </c>
      <c r="G2" s="9">
        <v>5.6000000000000001E-2</v>
      </c>
      <c r="K2" s="53">
        <v>50</v>
      </c>
      <c r="L2" s="9">
        <v>80</v>
      </c>
      <c r="M2" s="9">
        <v>100</v>
      </c>
    </row>
    <row r="3" spans="1:20" x14ac:dyDescent="0.25">
      <c r="A3" s="9" t="s">
        <v>64</v>
      </c>
      <c r="B3" s="66">
        <v>450</v>
      </c>
      <c r="C3" s="63" t="s">
        <v>24</v>
      </c>
      <c r="D3" s="60">
        <v>7</v>
      </c>
      <c r="E3" s="53">
        <v>3.3000000000000002E-2</v>
      </c>
      <c r="F3" s="9">
        <v>3.5999999999999997E-2</v>
      </c>
      <c r="G3" s="9">
        <v>5.1999999999999998E-2</v>
      </c>
      <c r="H3" s="9">
        <v>9.2999999999999999E-2</v>
      </c>
      <c r="K3" s="53">
        <v>50</v>
      </c>
      <c r="L3" s="9">
        <v>60</v>
      </c>
      <c r="M3" s="9">
        <v>80</v>
      </c>
      <c r="N3" s="9">
        <v>100</v>
      </c>
      <c r="O3" s="9">
        <v>120</v>
      </c>
    </row>
    <row r="4" spans="1:20" x14ac:dyDescent="0.25">
      <c r="A4" s="9" t="s">
        <v>65</v>
      </c>
      <c r="B4" s="66">
        <v>500</v>
      </c>
      <c r="C4" s="63" t="s">
        <v>24</v>
      </c>
      <c r="D4" s="60">
        <v>7</v>
      </c>
      <c r="E4" s="53">
        <v>3.4000000000000002E-2</v>
      </c>
      <c r="F4" s="9">
        <v>3.5999999999999997E-2</v>
      </c>
      <c r="G4" s="9">
        <v>5.1999999999999998E-2</v>
      </c>
      <c r="H4" s="9">
        <v>0.09</v>
      </c>
      <c r="K4" s="53">
        <v>50</v>
      </c>
      <c r="L4" s="9">
        <v>60</v>
      </c>
      <c r="M4" s="9">
        <v>80</v>
      </c>
      <c r="N4" s="9">
        <v>100</v>
      </c>
      <c r="O4" s="9">
        <v>120</v>
      </c>
    </row>
    <row r="5" spans="1:20" x14ac:dyDescent="0.25">
      <c r="A5" s="9" t="s">
        <v>66</v>
      </c>
      <c r="B5" s="66">
        <v>250</v>
      </c>
      <c r="C5" s="63" t="s">
        <v>24</v>
      </c>
      <c r="D5" s="60">
        <v>7</v>
      </c>
      <c r="E5" s="53">
        <v>3.3000000000000002E-2</v>
      </c>
      <c r="F5" s="9">
        <v>3.5999999999999997E-2</v>
      </c>
      <c r="G5" s="47">
        <v>0.05</v>
      </c>
      <c r="K5" s="53">
        <v>30</v>
      </c>
      <c r="L5" s="9">
        <v>50</v>
      </c>
      <c r="M5" s="9">
        <v>80</v>
      </c>
      <c r="N5" s="9">
        <v>100</v>
      </c>
      <c r="O5" s="9">
        <v>120</v>
      </c>
    </row>
    <row r="6" spans="1:20" x14ac:dyDescent="0.25">
      <c r="A6" s="9" t="s">
        <v>67</v>
      </c>
      <c r="B6" s="66">
        <v>650</v>
      </c>
      <c r="C6" s="63" t="s">
        <v>24</v>
      </c>
      <c r="D6" s="60">
        <v>7</v>
      </c>
      <c r="E6" s="54">
        <v>3.3000000000000002E-2</v>
      </c>
      <c r="F6" s="47">
        <v>3.5999999999999997E-2</v>
      </c>
      <c r="G6" s="47"/>
      <c r="K6" s="53">
        <v>25</v>
      </c>
      <c r="L6" s="9">
        <v>30</v>
      </c>
      <c r="M6" s="9">
        <v>40</v>
      </c>
      <c r="N6" s="9">
        <v>50</v>
      </c>
    </row>
    <row r="7" spans="1:20" x14ac:dyDescent="0.25">
      <c r="A7" s="9" t="s">
        <v>1010</v>
      </c>
      <c r="B7" s="66">
        <v>550</v>
      </c>
      <c r="C7" s="63" t="s">
        <v>24</v>
      </c>
      <c r="D7" s="60">
        <v>7</v>
      </c>
      <c r="E7" s="53">
        <v>3.4000000000000002E-2</v>
      </c>
      <c r="F7" s="47">
        <v>3.6999999999999998E-2</v>
      </c>
      <c r="G7" s="47">
        <v>4.4999999999999998E-2</v>
      </c>
      <c r="H7" s="9">
        <v>0.09</v>
      </c>
      <c r="K7" s="53">
        <v>40</v>
      </c>
      <c r="L7" s="9">
        <v>50</v>
      </c>
      <c r="M7" s="9">
        <v>80</v>
      </c>
      <c r="N7" s="9">
        <v>100</v>
      </c>
    </row>
    <row r="8" spans="1:20" x14ac:dyDescent="0.25">
      <c r="A8" s="9" t="s">
        <v>68</v>
      </c>
      <c r="B8" s="66">
        <v>550</v>
      </c>
      <c r="C8" s="63" t="s">
        <v>24</v>
      </c>
      <c r="D8" s="60">
        <v>7</v>
      </c>
      <c r="E8" s="53">
        <v>3.4000000000000002E-2</v>
      </c>
      <c r="F8" s="47">
        <v>3.6999999999999998E-2</v>
      </c>
      <c r="G8" s="9">
        <v>4.4999999999999998E-2</v>
      </c>
      <c r="H8" s="9">
        <v>8.7999999999999995E-2</v>
      </c>
      <c r="K8" s="53">
        <v>40</v>
      </c>
      <c r="L8" s="9">
        <v>50</v>
      </c>
      <c r="M8" s="9">
        <v>60</v>
      </c>
      <c r="N8" s="9">
        <v>80</v>
      </c>
      <c r="O8" s="9">
        <v>100</v>
      </c>
    </row>
    <row r="9" spans="1:20" x14ac:dyDescent="0.25">
      <c r="A9" s="9" t="s">
        <v>23</v>
      </c>
      <c r="B9" s="66">
        <v>640</v>
      </c>
      <c r="C9" s="63" t="s">
        <v>24</v>
      </c>
      <c r="D9" s="60">
        <v>2</v>
      </c>
      <c r="E9" s="53">
        <v>3.5000000000000003E-2</v>
      </c>
      <c r="F9" s="9">
        <v>3.6999999999999998E-2</v>
      </c>
      <c r="G9" s="9">
        <v>4.9000000000000002E-2</v>
      </c>
      <c r="H9" s="9">
        <v>0.08</v>
      </c>
      <c r="K9" s="53">
        <v>30</v>
      </c>
      <c r="L9" s="9">
        <v>40</v>
      </c>
      <c r="M9" s="9">
        <v>50</v>
      </c>
      <c r="N9" s="9">
        <v>60</v>
      </c>
      <c r="O9" s="9">
        <v>70</v>
      </c>
      <c r="P9" s="9">
        <v>80</v>
      </c>
      <c r="Q9" s="9">
        <v>100</v>
      </c>
      <c r="R9" s="9">
        <v>120</v>
      </c>
    </row>
    <row r="10" spans="1:20" x14ac:dyDescent="0.25">
      <c r="A10" s="9" t="s">
        <v>25</v>
      </c>
      <c r="B10" s="66">
        <v>660</v>
      </c>
      <c r="C10" s="63" t="s">
        <v>24</v>
      </c>
      <c r="D10" s="60">
        <v>2</v>
      </c>
      <c r="E10" s="53">
        <v>3.4000000000000002E-2</v>
      </c>
      <c r="F10" s="9">
        <v>3.5999999999999997E-2</v>
      </c>
      <c r="G10" s="9">
        <v>4.8000000000000001E-2</v>
      </c>
      <c r="H10" s="9">
        <v>7.5999999999999998E-2</v>
      </c>
      <c r="K10" s="53">
        <v>30</v>
      </c>
      <c r="L10" s="9">
        <v>40</v>
      </c>
      <c r="M10" s="9">
        <v>50</v>
      </c>
      <c r="N10" s="9">
        <v>60</v>
      </c>
      <c r="O10" s="9">
        <v>70</v>
      </c>
      <c r="P10" s="9">
        <v>80</v>
      </c>
      <c r="Q10" s="9">
        <v>90</v>
      </c>
      <c r="R10" s="9">
        <v>100</v>
      </c>
      <c r="S10" s="9">
        <v>120</v>
      </c>
    </row>
    <row r="11" spans="1:20" x14ac:dyDescent="0.25">
      <c r="A11" s="9" t="s">
        <v>26</v>
      </c>
      <c r="B11" s="66">
        <v>680</v>
      </c>
      <c r="C11" s="63" t="s">
        <v>24</v>
      </c>
      <c r="D11" s="60">
        <v>2</v>
      </c>
      <c r="E11" s="53">
        <v>3.4000000000000002E-2</v>
      </c>
      <c r="F11" s="47">
        <v>3.5999999999999997E-2</v>
      </c>
      <c r="G11" s="9">
        <v>4.4999999999999998E-2</v>
      </c>
      <c r="H11" s="9">
        <v>7.2999999999999995E-2</v>
      </c>
      <c r="K11" s="53">
        <v>30</v>
      </c>
      <c r="L11" s="9">
        <v>40</v>
      </c>
      <c r="M11" s="9">
        <v>50</v>
      </c>
      <c r="N11" s="9">
        <v>60</v>
      </c>
      <c r="O11" s="9">
        <v>70</v>
      </c>
      <c r="P11" s="9">
        <v>80</v>
      </c>
      <c r="Q11" s="9">
        <v>100</v>
      </c>
    </row>
    <row r="12" spans="1:20" x14ac:dyDescent="0.25">
      <c r="A12" s="9" t="s">
        <v>30</v>
      </c>
      <c r="B12" s="66">
        <v>400</v>
      </c>
      <c r="C12" s="63" t="s">
        <v>41</v>
      </c>
      <c r="D12" s="60">
        <v>1</v>
      </c>
      <c r="E12" s="53">
        <v>3.4000000000000002E-2</v>
      </c>
      <c r="F12" s="9">
        <v>3.6999999999999998E-2</v>
      </c>
      <c r="G12" s="9">
        <v>5.2999999999999999E-2</v>
      </c>
      <c r="K12" s="53">
        <v>30</v>
      </c>
      <c r="L12" s="9">
        <v>50</v>
      </c>
      <c r="M12" s="9">
        <v>60</v>
      </c>
      <c r="N12" s="9">
        <v>80</v>
      </c>
      <c r="O12" s="9">
        <v>100</v>
      </c>
    </row>
    <row r="13" spans="1:20" x14ac:dyDescent="0.25">
      <c r="A13" s="9" t="s">
        <v>31</v>
      </c>
      <c r="B13" s="66">
        <v>250</v>
      </c>
      <c r="C13" s="63" t="s">
        <v>24</v>
      </c>
      <c r="D13" s="60">
        <v>5</v>
      </c>
      <c r="E13" s="53">
        <v>3.9E-2</v>
      </c>
      <c r="F13" s="9">
        <v>4.2000000000000003E-2</v>
      </c>
      <c r="G13" s="9">
        <v>6.2E-2</v>
      </c>
      <c r="K13" s="53">
        <v>20</v>
      </c>
      <c r="L13" s="9">
        <v>30</v>
      </c>
      <c r="M13" s="9">
        <v>40</v>
      </c>
      <c r="N13" s="9">
        <v>50</v>
      </c>
      <c r="O13" s="9">
        <v>60</v>
      </c>
      <c r="P13" s="9">
        <v>70</v>
      </c>
      <c r="Q13" s="9">
        <v>80</v>
      </c>
      <c r="R13" s="9">
        <v>100</v>
      </c>
    </row>
    <row r="14" spans="1:20" x14ac:dyDescent="0.25">
      <c r="A14" s="9" t="s">
        <v>32</v>
      </c>
      <c r="B14" s="66">
        <v>250</v>
      </c>
      <c r="C14" s="63" t="s">
        <v>24</v>
      </c>
      <c r="D14" s="60">
        <v>5</v>
      </c>
      <c r="E14" s="53">
        <v>3.9E-2</v>
      </c>
      <c r="F14" s="9">
        <v>4.1000000000000002E-2</v>
      </c>
      <c r="G14" s="47">
        <v>5.7000000000000002E-2</v>
      </c>
      <c r="K14" s="53">
        <v>20</v>
      </c>
      <c r="L14" s="9">
        <v>30</v>
      </c>
      <c r="M14" s="9">
        <v>40</v>
      </c>
      <c r="N14" s="9">
        <v>50</v>
      </c>
      <c r="O14" s="9">
        <v>60</v>
      </c>
      <c r="P14" s="9">
        <v>80</v>
      </c>
      <c r="Q14" s="9">
        <v>100</v>
      </c>
    </row>
    <row r="15" spans="1:20" x14ac:dyDescent="0.25">
      <c r="A15" s="9" t="s">
        <v>33</v>
      </c>
      <c r="B15" s="66">
        <v>640</v>
      </c>
      <c r="C15" s="63" t="s">
        <v>41</v>
      </c>
      <c r="D15" s="60">
        <v>4</v>
      </c>
      <c r="E15" s="54">
        <v>3.5000000000000003E-2</v>
      </c>
      <c r="F15" s="47">
        <v>3.6999999999999998E-2</v>
      </c>
      <c r="G15" s="47">
        <v>4.9000000000000002E-2</v>
      </c>
      <c r="K15" s="53">
        <v>30</v>
      </c>
      <c r="L15" s="9">
        <v>40</v>
      </c>
      <c r="M15" s="9">
        <v>50</v>
      </c>
      <c r="N15" s="9">
        <v>60</v>
      </c>
      <c r="O15" s="9">
        <v>70</v>
      </c>
      <c r="P15" s="9">
        <v>80</v>
      </c>
      <c r="Q15" s="9">
        <v>100</v>
      </c>
      <c r="R15" s="9">
        <v>120</v>
      </c>
    </row>
    <row r="16" spans="1:20" x14ac:dyDescent="0.25">
      <c r="A16" s="9" t="s">
        <v>34</v>
      </c>
      <c r="B16" s="66">
        <v>250</v>
      </c>
      <c r="C16" s="63" t="s">
        <v>24</v>
      </c>
      <c r="D16" s="60">
        <v>4</v>
      </c>
      <c r="E16" s="53">
        <v>3.4000000000000002E-2</v>
      </c>
      <c r="F16" s="47">
        <v>3.5999999999999997E-2</v>
      </c>
      <c r="G16" s="47">
        <v>4.8000000000000001E-2</v>
      </c>
      <c r="K16" s="53">
        <v>30</v>
      </c>
      <c r="L16" s="9">
        <v>40</v>
      </c>
      <c r="M16" s="9">
        <v>50</v>
      </c>
      <c r="N16" s="9">
        <v>60</v>
      </c>
      <c r="O16" s="9">
        <v>70</v>
      </c>
      <c r="P16" s="9">
        <v>80</v>
      </c>
      <c r="Q16" s="9">
        <v>90</v>
      </c>
      <c r="R16" s="9">
        <v>100</v>
      </c>
      <c r="S16" s="9">
        <v>110</v>
      </c>
      <c r="T16" s="9">
        <v>120</v>
      </c>
    </row>
    <row r="17" spans="1:22" x14ac:dyDescent="0.25">
      <c r="A17" s="9" t="s">
        <v>35</v>
      </c>
      <c r="B17" s="66">
        <v>250</v>
      </c>
      <c r="C17" s="63" t="s">
        <v>41</v>
      </c>
      <c r="D17" s="60">
        <v>4</v>
      </c>
      <c r="E17" s="53">
        <v>3.4000000000000002E-2</v>
      </c>
      <c r="F17" s="47">
        <v>3.5999999999999997E-2</v>
      </c>
      <c r="G17" s="9">
        <v>4.4999999999999998E-2</v>
      </c>
      <c r="K17" s="53">
        <v>30</v>
      </c>
      <c r="L17" s="9">
        <v>40</v>
      </c>
      <c r="M17" s="9">
        <v>50</v>
      </c>
      <c r="N17" s="9">
        <v>60</v>
      </c>
      <c r="O17" s="9">
        <v>70</v>
      </c>
      <c r="P17" s="9">
        <v>80</v>
      </c>
      <c r="Q17" s="9">
        <v>100</v>
      </c>
    </row>
    <row r="18" spans="1:22" x14ac:dyDescent="0.25">
      <c r="A18" s="9" t="s">
        <v>36</v>
      </c>
      <c r="B18" s="66">
        <v>250</v>
      </c>
      <c r="C18" s="63" t="s">
        <v>24</v>
      </c>
      <c r="D18" s="60">
        <v>5</v>
      </c>
      <c r="E18" s="53">
        <v>3.4000000000000002E-2</v>
      </c>
      <c r="F18" s="9">
        <v>3.6999999999999998E-2</v>
      </c>
      <c r="G18" s="9">
        <v>5.2999999999999999E-2</v>
      </c>
      <c r="K18" s="53">
        <v>30</v>
      </c>
      <c r="L18" s="9">
        <v>40</v>
      </c>
      <c r="M18" s="9">
        <v>50</v>
      </c>
      <c r="N18" s="9">
        <v>60</v>
      </c>
      <c r="O18" s="9">
        <v>70</v>
      </c>
      <c r="P18" s="9">
        <v>80</v>
      </c>
      <c r="Q18" s="9">
        <v>100</v>
      </c>
      <c r="R18" s="9">
        <v>120</v>
      </c>
    </row>
    <row r="19" spans="1:22" x14ac:dyDescent="0.25">
      <c r="A19" s="9" t="s">
        <v>37</v>
      </c>
      <c r="B19" s="66">
        <v>750</v>
      </c>
      <c r="C19" s="63" t="s">
        <v>41</v>
      </c>
      <c r="D19" s="60">
        <v>4</v>
      </c>
      <c r="E19" s="53">
        <v>3.4000000000000002E-2</v>
      </c>
      <c r="F19" s="9">
        <v>3.6999999999999998E-2</v>
      </c>
      <c r="G19" s="9">
        <v>5.2999999999999999E-2</v>
      </c>
      <c r="K19" s="53">
        <v>50</v>
      </c>
      <c r="L19" s="9">
        <v>100</v>
      </c>
    </row>
    <row r="20" spans="1:22" x14ac:dyDescent="0.25">
      <c r="A20" s="9" t="s">
        <v>38</v>
      </c>
      <c r="B20" s="66">
        <v>750</v>
      </c>
      <c r="C20" s="63" t="s">
        <v>41</v>
      </c>
      <c r="D20" s="60">
        <v>1</v>
      </c>
      <c r="E20" s="54">
        <v>3.5000000000000003E-2</v>
      </c>
      <c r="F20" s="47">
        <v>3.7999999999999999E-2</v>
      </c>
      <c r="G20" s="47">
        <v>0.05</v>
      </c>
      <c r="H20" s="47">
        <v>9.2999999999999999E-2</v>
      </c>
      <c r="K20" s="53">
        <v>50</v>
      </c>
    </row>
    <row r="21" spans="1:22" x14ac:dyDescent="0.25">
      <c r="A21" s="9" t="s">
        <v>39</v>
      </c>
      <c r="B21" s="66">
        <v>750</v>
      </c>
      <c r="C21" s="63" t="s">
        <v>41</v>
      </c>
      <c r="D21" s="60">
        <v>1</v>
      </c>
      <c r="E21" s="54">
        <v>3.5000000000000003E-2</v>
      </c>
      <c r="F21" s="9">
        <v>3.5999999999999997E-2</v>
      </c>
      <c r="G21" s="47">
        <v>5.1999999999999998E-2</v>
      </c>
      <c r="H21" s="47">
        <v>7.1999999999999995E-2</v>
      </c>
      <c r="K21" s="53">
        <v>50</v>
      </c>
    </row>
    <row r="22" spans="1:22" x14ac:dyDescent="0.25">
      <c r="A22" s="9" t="s">
        <v>40</v>
      </c>
      <c r="B22" s="66">
        <v>250</v>
      </c>
      <c r="C22" s="63" t="s">
        <v>41</v>
      </c>
      <c r="D22" s="60"/>
      <c r="E22" s="53">
        <v>3.9E-2</v>
      </c>
      <c r="F22" s="9">
        <v>4.2000000000000003E-2</v>
      </c>
      <c r="G22" s="9">
        <v>6.2E-2</v>
      </c>
      <c r="K22" s="53">
        <v>20</v>
      </c>
      <c r="L22" s="9">
        <v>30</v>
      </c>
      <c r="M22" s="9">
        <v>40</v>
      </c>
      <c r="N22" s="9">
        <v>50</v>
      </c>
      <c r="O22" s="9">
        <v>60</v>
      </c>
      <c r="P22" s="9">
        <v>70</v>
      </c>
      <c r="Q22" s="9">
        <v>80</v>
      </c>
      <c r="R22" s="9">
        <v>100</v>
      </c>
    </row>
    <row r="23" spans="1:22" x14ac:dyDescent="0.25">
      <c r="A23" s="9" t="s">
        <v>42</v>
      </c>
      <c r="B23" s="66">
        <v>640</v>
      </c>
      <c r="C23" s="63" t="s">
        <v>24</v>
      </c>
      <c r="D23" s="60">
        <v>2</v>
      </c>
      <c r="E23" s="53">
        <v>3.5000000000000003E-2</v>
      </c>
      <c r="F23" s="9">
        <v>3.6999999999999998E-2</v>
      </c>
      <c r="G23" s="9">
        <v>4.9000000000000002E-2</v>
      </c>
      <c r="H23" s="47">
        <v>0.08</v>
      </c>
      <c r="K23" s="53">
        <v>30</v>
      </c>
      <c r="L23" s="9">
        <v>40</v>
      </c>
      <c r="M23" s="9">
        <v>50</v>
      </c>
      <c r="N23" s="9">
        <v>60</v>
      </c>
      <c r="O23" s="9">
        <v>70</v>
      </c>
      <c r="P23" s="9">
        <v>80</v>
      </c>
      <c r="Q23" s="9">
        <v>100</v>
      </c>
      <c r="R23" s="9">
        <v>120</v>
      </c>
    </row>
    <row r="24" spans="1:22" x14ac:dyDescent="0.25">
      <c r="A24" s="9" t="s">
        <v>43</v>
      </c>
      <c r="B24" s="66">
        <v>640</v>
      </c>
      <c r="C24" s="63" t="s">
        <v>24</v>
      </c>
      <c r="D24" s="60">
        <v>2</v>
      </c>
      <c r="E24" s="53">
        <v>3.5000000000000003E-2</v>
      </c>
      <c r="F24" s="9">
        <v>3.6999999999999998E-2</v>
      </c>
      <c r="G24" s="9">
        <v>4.9000000000000002E-2</v>
      </c>
      <c r="H24" s="47">
        <v>0.08</v>
      </c>
      <c r="K24" s="53">
        <v>30</v>
      </c>
      <c r="L24" s="9">
        <v>40</v>
      </c>
      <c r="M24" s="9">
        <v>50</v>
      </c>
      <c r="N24" s="9">
        <v>60</v>
      </c>
      <c r="O24" s="9">
        <v>70</v>
      </c>
      <c r="P24" s="9">
        <v>80</v>
      </c>
      <c r="Q24" s="9">
        <v>100</v>
      </c>
      <c r="R24" s="9">
        <v>120</v>
      </c>
    </row>
    <row r="25" spans="1:22" x14ac:dyDescent="0.25">
      <c r="A25" s="9" t="s">
        <v>44</v>
      </c>
      <c r="B25" s="66">
        <v>640</v>
      </c>
      <c r="C25" s="63" t="s">
        <v>24</v>
      </c>
      <c r="D25" s="60">
        <v>2</v>
      </c>
      <c r="E25" s="53">
        <v>3.5000000000000003E-2</v>
      </c>
      <c r="F25" s="9">
        <v>3.6999999999999998E-2</v>
      </c>
      <c r="G25" s="9">
        <v>4.9000000000000002E-2</v>
      </c>
      <c r="H25" s="47">
        <v>0.08</v>
      </c>
      <c r="K25" s="53">
        <v>30</v>
      </c>
      <c r="L25" s="9">
        <v>40</v>
      </c>
      <c r="M25" s="9">
        <v>50</v>
      </c>
      <c r="N25" s="9">
        <v>60</v>
      </c>
      <c r="O25" s="9">
        <v>70</v>
      </c>
      <c r="P25" s="9">
        <v>80</v>
      </c>
      <c r="Q25" s="9">
        <v>100</v>
      </c>
      <c r="R25" s="9">
        <v>120</v>
      </c>
    </row>
    <row r="26" spans="1:22" x14ac:dyDescent="0.25">
      <c r="A26" s="9" t="s">
        <v>45</v>
      </c>
      <c r="B26" s="66">
        <v>660</v>
      </c>
      <c r="C26" s="63" t="s">
        <v>24</v>
      </c>
      <c r="D26" s="60">
        <v>2</v>
      </c>
      <c r="E26" s="53">
        <v>3.4000000000000002E-2</v>
      </c>
      <c r="F26" s="9">
        <v>3.5999999999999997E-2</v>
      </c>
      <c r="G26" s="9">
        <v>4.8000000000000001E-2</v>
      </c>
      <c r="H26" s="47">
        <v>7.5999999999999998E-2</v>
      </c>
      <c r="K26" s="53">
        <v>30</v>
      </c>
      <c r="L26" s="9">
        <v>40</v>
      </c>
      <c r="M26" s="9">
        <v>50</v>
      </c>
      <c r="N26" s="9">
        <v>60</v>
      </c>
      <c r="O26" s="9">
        <v>70</v>
      </c>
      <c r="P26" s="9">
        <v>80</v>
      </c>
      <c r="Q26" s="9">
        <v>90</v>
      </c>
      <c r="R26" s="9">
        <v>100</v>
      </c>
      <c r="S26" s="9">
        <v>120</v>
      </c>
    </row>
    <row r="27" spans="1:22" x14ac:dyDescent="0.25">
      <c r="A27" s="9" t="s">
        <v>46</v>
      </c>
      <c r="B27" s="66">
        <v>660</v>
      </c>
      <c r="C27" s="63" t="s">
        <v>24</v>
      </c>
      <c r="D27" s="60">
        <v>2</v>
      </c>
      <c r="E27" s="53">
        <v>3.4000000000000002E-2</v>
      </c>
      <c r="F27" s="9">
        <v>3.5999999999999997E-2</v>
      </c>
      <c r="G27" s="9">
        <v>4.8000000000000001E-2</v>
      </c>
      <c r="H27" s="47">
        <v>7.5999999999999998E-2</v>
      </c>
      <c r="K27" s="53">
        <v>30</v>
      </c>
      <c r="L27" s="9">
        <v>40</v>
      </c>
      <c r="M27" s="9">
        <v>50</v>
      </c>
      <c r="N27" s="9">
        <v>60</v>
      </c>
      <c r="O27" s="9">
        <v>70</v>
      </c>
      <c r="P27" s="9">
        <v>80</v>
      </c>
      <c r="Q27" s="9">
        <v>90</v>
      </c>
      <c r="R27" s="9">
        <v>100</v>
      </c>
      <c r="S27" s="9">
        <v>120</v>
      </c>
    </row>
    <row r="28" spans="1:22" x14ac:dyDescent="0.25">
      <c r="A28" s="9" t="s">
        <v>47</v>
      </c>
      <c r="B28" s="66">
        <v>660</v>
      </c>
      <c r="C28" s="63" t="s">
        <v>24</v>
      </c>
      <c r="D28" s="60">
        <v>2</v>
      </c>
      <c r="E28" s="53">
        <v>3.4000000000000002E-2</v>
      </c>
      <c r="F28" s="9">
        <v>3.5999999999999997E-2</v>
      </c>
      <c r="G28" s="9">
        <v>4.8000000000000001E-2</v>
      </c>
      <c r="H28" s="47">
        <v>7.5999999999999998E-2</v>
      </c>
      <c r="K28" s="53">
        <v>30</v>
      </c>
      <c r="L28" s="9">
        <v>40</v>
      </c>
      <c r="M28" s="9">
        <v>50</v>
      </c>
      <c r="N28" s="9">
        <v>60</v>
      </c>
      <c r="O28" s="9">
        <v>70</v>
      </c>
      <c r="P28" s="9">
        <v>80</v>
      </c>
      <c r="Q28" s="9">
        <v>90</v>
      </c>
      <c r="R28" s="9">
        <v>100</v>
      </c>
      <c r="S28" s="9">
        <v>120</v>
      </c>
    </row>
    <row r="29" spans="1:22" x14ac:dyDescent="0.25">
      <c r="A29" s="9" t="s">
        <v>48</v>
      </c>
      <c r="B29" s="66">
        <v>680</v>
      </c>
      <c r="C29" s="63" t="s">
        <v>24</v>
      </c>
      <c r="D29" s="60">
        <v>2</v>
      </c>
      <c r="E29" s="53">
        <v>3.4000000000000002E-2</v>
      </c>
      <c r="F29" s="47">
        <v>3.5999999999999997E-2</v>
      </c>
      <c r="G29" s="9">
        <v>4.4999999999999998E-2</v>
      </c>
      <c r="H29" s="9">
        <v>7.2999999999999995E-2</v>
      </c>
      <c r="K29" s="53">
        <v>30</v>
      </c>
      <c r="L29" s="9">
        <v>40</v>
      </c>
      <c r="M29" s="9">
        <v>50</v>
      </c>
      <c r="N29" s="9">
        <v>60</v>
      </c>
      <c r="O29" s="9">
        <v>70</v>
      </c>
      <c r="P29" s="9">
        <v>80</v>
      </c>
      <c r="Q29" s="9">
        <v>100</v>
      </c>
    </row>
    <row r="30" spans="1:22" x14ac:dyDescent="0.25">
      <c r="A30" s="9" t="s">
        <v>49</v>
      </c>
      <c r="B30" s="66">
        <v>680</v>
      </c>
      <c r="C30" s="63" t="s">
        <v>24</v>
      </c>
      <c r="D30" s="60">
        <v>2</v>
      </c>
      <c r="E30" s="53">
        <v>3.4000000000000002E-2</v>
      </c>
      <c r="F30" s="47">
        <v>3.5999999999999997E-2</v>
      </c>
      <c r="G30" s="9">
        <v>4.4999999999999998E-2</v>
      </c>
      <c r="H30" s="9">
        <v>7.2999999999999995E-2</v>
      </c>
      <c r="K30" s="53">
        <v>30</v>
      </c>
      <c r="L30" s="9">
        <v>40</v>
      </c>
      <c r="M30" s="9">
        <v>50</v>
      </c>
      <c r="N30" s="9">
        <v>60</v>
      </c>
      <c r="O30" s="9">
        <v>70</v>
      </c>
      <c r="P30" s="9">
        <v>80</v>
      </c>
      <c r="Q30" s="9">
        <v>100</v>
      </c>
    </row>
    <row r="31" spans="1:22" x14ac:dyDescent="0.25">
      <c r="A31" s="9" t="s">
        <v>50</v>
      </c>
      <c r="B31" s="66">
        <v>680</v>
      </c>
      <c r="C31" s="63" t="s">
        <v>24</v>
      </c>
      <c r="D31" s="60">
        <v>2</v>
      </c>
      <c r="E31" s="53">
        <v>3.4000000000000002E-2</v>
      </c>
      <c r="F31" s="47">
        <v>3.5999999999999997E-2</v>
      </c>
      <c r="G31" s="9">
        <v>4.4999999999999998E-2</v>
      </c>
      <c r="H31" s="9">
        <v>7.2999999999999995E-2</v>
      </c>
      <c r="K31" s="53">
        <v>30</v>
      </c>
      <c r="L31" s="9">
        <v>40</v>
      </c>
      <c r="M31" s="9">
        <v>50</v>
      </c>
      <c r="N31" s="9">
        <v>60</v>
      </c>
      <c r="O31" s="9">
        <v>70</v>
      </c>
      <c r="P31" s="9">
        <v>80</v>
      </c>
      <c r="Q31" s="9">
        <v>100</v>
      </c>
    </row>
    <row r="32" spans="1:22" x14ac:dyDescent="0.25">
      <c r="A32" s="47" t="s">
        <v>51</v>
      </c>
      <c r="B32" s="66">
        <v>640</v>
      </c>
      <c r="C32" s="64" t="s">
        <v>41</v>
      </c>
      <c r="D32" s="61"/>
      <c r="E32" s="53">
        <v>3.4000000000000002E-2</v>
      </c>
      <c r="F32" s="9">
        <v>3.6999999999999998E-2</v>
      </c>
      <c r="G32" s="9">
        <v>4.7E-2</v>
      </c>
      <c r="H32" s="9">
        <v>8.3000000000000004E-2</v>
      </c>
      <c r="I32" s="9">
        <v>0.11600000000000001</v>
      </c>
      <c r="J32" s="47">
        <v>0.157</v>
      </c>
      <c r="K32" s="53">
        <v>20</v>
      </c>
      <c r="L32" s="9">
        <v>30</v>
      </c>
      <c r="M32" s="9">
        <v>40</v>
      </c>
      <c r="N32" s="9">
        <v>50</v>
      </c>
      <c r="O32" s="9">
        <v>60</v>
      </c>
      <c r="P32" s="9">
        <v>70</v>
      </c>
      <c r="Q32" s="9">
        <v>80</v>
      </c>
      <c r="R32" s="9">
        <v>100</v>
      </c>
      <c r="S32" s="9">
        <v>120</v>
      </c>
      <c r="T32" s="9">
        <v>140</v>
      </c>
      <c r="U32" s="9">
        <v>160</v>
      </c>
      <c r="V32" s="9">
        <v>200</v>
      </c>
    </row>
    <row r="33" spans="1:22" x14ac:dyDescent="0.25">
      <c r="A33" s="47" t="s">
        <v>52</v>
      </c>
      <c r="B33" s="66">
        <v>640</v>
      </c>
      <c r="C33" s="64" t="s">
        <v>41</v>
      </c>
      <c r="D33" s="61"/>
      <c r="E33" s="53">
        <v>3.4000000000000002E-2</v>
      </c>
      <c r="F33" s="9">
        <v>3.6999999999999998E-2</v>
      </c>
      <c r="G33" s="9">
        <v>4.7E-2</v>
      </c>
      <c r="H33" s="9">
        <v>8.3000000000000004E-2</v>
      </c>
      <c r="I33" s="9">
        <v>0.11600000000000001</v>
      </c>
      <c r="J33" s="47">
        <v>0.157</v>
      </c>
      <c r="K33" s="53">
        <v>80</v>
      </c>
      <c r="L33" s="9">
        <v>100</v>
      </c>
      <c r="M33" s="9">
        <v>120</v>
      </c>
      <c r="N33" s="9">
        <v>140</v>
      </c>
      <c r="O33" s="9">
        <v>160</v>
      </c>
    </row>
    <row r="34" spans="1:22" x14ac:dyDescent="0.25">
      <c r="A34" s="47" t="s">
        <v>53</v>
      </c>
      <c r="B34" s="66">
        <v>680</v>
      </c>
      <c r="C34" s="64" t="s">
        <v>41</v>
      </c>
      <c r="D34" s="61"/>
      <c r="E34" s="53">
        <v>3.4000000000000002E-2</v>
      </c>
      <c r="F34" s="9">
        <v>3.6999999999999998E-2</v>
      </c>
      <c r="G34" s="9">
        <v>4.7E-2</v>
      </c>
      <c r="H34" s="9">
        <v>8.3000000000000004E-2</v>
      </c>
      <c r="I34" s="9">
        <v>0.11600000000000001</v>
      </c>
      <c r="J34" s="47">
        <v>0.157</v>
      </c>
      <c r="K34" s="53">
        <v>50</v>
      </c>
      <c r="L34" s="9">
        <v>60</v>
      </c>
      <c r="M34" s="9">
        <v>70</v>
      </c>
      <c r="N34" s="9">
        <v>80</v>
      </c>
      <c r="O34" s="9">
        <v>90</v>
      </c>
      <c r="P34" s="9">
        <v>100</v>
      </c>
      <c r="Q34" s="9">
        <v>110</v>
      </c>
      <c r="R34" s="9">
        <v>120</v>
      </c>
      <c r="S34" s="9">
        <v>130</v>
      </c>
      <c r="T34" s="9">
        <v>140</v>
      </c>
      <c r="U34" s="9">
        <v>150</v>
      </c>
      <c r="V34" s="9">
        <v>160</v>
      </c>
    </row>
    <row r="35" spans="1:22" x14ac:dyDescent="0.25">
      <c r="A35" s="47" t="s">
        <v>54</v>
      </c>
      <c r="B35" s="66">
        <v>680</v>
      </c>
      <c r="C35" s="64" t="s">
        <v>41</v>
      </c>
      <c r="D35" s="61"/>
      <c r="E35" s="53">
        <v>3.4000000000000002E-2</v>
      </c>
      <c r="F35" s="9">
        <v>3.6999999999999998E-2</v>
      </c>
      <c r="G35" s="9">
        <v>4.7E-2</v>
      </c>
      <c r="H35" s="9">
        <v>8.3000000000000004E-2</v>
      </c>
      <c r="I35" s="9">
        <v>0.11600000000000001</v>
      </c>
      <c r="J35" s="47">
        <v>0.157</v>
      </c>
      <c r="K35" s="53">
        <v>50</v>
      </c>
      <c r="L35" s="9">
        <v>60</v>
      </c>
      <c r="M35" s="9">
        <v>70</v>
      </c>
      <c r="N35" s="9">
        <v>80</v>
      </c>
      <c r="O35" s="9">
        <v>90</v>
      </c>
      <c r="P35" s="9">
        <v>100</v>
      </c>
      <c r="Q35" s="9">
        <v>110</v>
      </c>
      <c r="R35" s="9">
        <v>120</v>
      </c>
      <c r="S35" s="9">
        <v>130</v>
      </c>
      <c r="T35" s="9">
        <v>140</v>
      </c>
      <c r="U35" s="9">
        <v>150</v>
      </c>
      <c r="V35" s="9">
        <v>160</v>
      </c>
    </row>
    <row r="36" spans="1:22" x14ac:dyDescent="0.25">
      <c r="A36" s="47" t="s">
        <v>55</v>
      </c>
      <c r="B36" s="66">
        <v>640</v>
      </c>
      <c r="C36" s="64" t="s">
        <v>41</v>
      </c>
      <c r="D36" s="61"/>
      <c r="E36" s="53">
        <v>3.4000000000000002E-2</v>
      </c>
      <c r="F36" s="9">
        <v>3.6999999999999998E-2</v>
      </c>
      <c r="G36" s="9">
        <v>4.7E-2</v>
      </c>
      <c r="H36" s="9">
        <v>8.3000000000000004E-2</v>
      </c>
      <c r="I36" s="9">
        <v>0.11600000000000001</v>
      </c>
      <c r="J36" s="47">
        <v>0.157</v>
      </c>
      <c r="K36" s="53">
        <v>50</v>
      </c>
      <c r="L36" s="9">
        <v>60</v>
      </c>
      <c r="M36" s="9">
        <v>70</v>
      </c>
      <c r="N36" s="9">
        <v>80</v>
      </c>
      <c r="O36" s="9">
        <v>90</v>
      </c>
      <c r="P36" s="9">
        <v>100</v>
      </c>
      <c r="Q36" s="9">
        <v>110</v>
      </c>
      <c r="R36" s="9">
        <v>120</v>
      </c>
    </row>
    <row r="37" spans="1:22" x14ac:dyDescent="0.25">
      <c r="A37" s="47" t="s">
        <v>56</v>
      </c>
      <c r="B37" s="66">
        <v>250</v>
      </c>
      <c r="C37" s="64" t="s">
        <v>41</v>
      </c>
      <c r="D37" s="61"/>
      <c r="E37" s="54">
        <v>3.4000000000000002E-2</v>
      </c>
      <c r="F37" s="47">
        <v>3.6999999999999998E-2</v>
      </c>
      <c r="G37" s="47">
        <v>4.7E-2</v>
      </c>
      <c r="K37" s="53">
        <v>20</v>
      </c>
      <c r="L37" s="9">
        <v>30</v>
      </c>
      <c r="M37" s="9">
        <v>40</v>
      </c>
      <c r="N37" s="9">
        <v>50</v>
      </c>
      <c r="O37" s="9">
        <v>60</v>
      </c>
      <c r="P37" s="9">
        <v>80</v>
      </c>
      <c r="Q37" s="9">
        <v>100</v>
      </c>
    </row>
    <row r="38" spans="1:22" x14ac:dyDescent="0.25">
      <c r="A38" s="47" t="s">
        <v>57</v>
      </c>
      <c r="B38" s="66">
        <v>680</v>
      </c>
      <c r="C38" s="64" t="s">
        <v>41</v>
      </c>
      <c r="D38" s="61"/>
      <c r="E38" s="53">
        <v>3.6999999999999998E-2</v>
      </c>
      <c r="F38" s="9">
        <v>3.9E-2</v>
      </c>
      <c r="G38" s="9">
        <v>4.5999999999999999E-2</v>
      </c>
      <c r="H38" s="9">
        <v>7.6999999999999999E-2</v>
      </c>
      <c r="I38" s="9">
        <v>0.104</v>
      </c>
      <c r="J38" s="47">
        <v>0.13800000000000001</v>
      </c>
      <c r="K38" s="53">
        <v>20</v>
      </c>
      <c r="L38" s="9">
        <v>30</v>
      </c>
      <c r="M38" s="9">
        <v>40</v>
      </c>
      <c r="N38" s="9">
        <v>50</v>
      </c>
      <c r="O38" s="9">
        <v>60</v>
      </c>
      <c r="P38" s="9">
        <v>80</v>
      </c>
      <c r="Q38" s="9">
        <v>100</v>
      </c>
      <c r="R38" s="9">
        <v>120</v>
      </c>
      <c r="S38" s="9">
        <v>140</v>
      </c>
      <c r="T38" s="9">
        <v>160</v>
      </c>
      <c r="U38" s="9">
        <v>200</v>
      </c>
    </row>
    <row r="39" spans="1:22" x14ac:dyDescent="0.25">
      <c r="A39" s="47" t="s">
        <v>58</v>
      </c>
      <c r="B39" s="66">
        <v>680</v>
      </c>
      <c r="C39" s="64" t="s">
        <v>41</v>
      </c>
      <c r="D39" s="61"/>
      <c r="E39" s="53">
        <v>3.6999999999999998E-2</v>
      </c>
      <c r="F39" s="9">
        <v>3.9E-2</v>
      </c>
      <c r="G39" s="9">
        <v>4.5999999999999999E-2</v>
      </c>
      <c r="H39" s="9">
        <v>7.6999999999999999E-2</v>
      </c>
      <c r="I39" s="9">
        <v>0.104</v>
      </c>
      <c r="J39" s="47">
        <v>0.13800000000000001</v>
      </c>
      <c r="K39" s="53">
        <v>80</v>
      </c>
      <c r="L39" s="9">
        <v>100</v>
      </c>
      <c r="M39" s="9">
        <v>120</v>
      </c>
      <c r="N39" s="9">
        <v>140</v>
      </c>
      <c r="O39" s="9">
        <v>160</v>
      </c>
    </row>
    <row r="40" spans="1:22" x14ac:dyDescent="0.25">
      <c r="A40" s="47" t="s">
        <v>59</v>
      </c>
      <c r="B40" s="66">
        <v>680</v>
      </c>
      <c r="C40" s="64" t="s">
        <v>41</v>
      </c>
      <c r="D40" s="61"/>
      <c r="E40" s="53">
        <v>3.6999999999999998E-2</v>
      </c>
      <c r="F40" s="9">
        <v>3.9E-2</v>
      </c>
      <c r="G40" s="9">
        <v>4.5999999999999999E-2</v>
      </c>
      <c r="H40" s="9">
        <v>7.6999999999999999E-2</v>
      </c>
      <c r="I40" s="9">
        <v>0.104</v>
      </c>
      <c r="J40" s="47">
        <v>0.13800000000000001</v>
      </c>
      <c r="K40" s="53">
        <v>50</v>
      </c>
      <c r="L40" s="9">
        <v>60</v>
      </c>
      <c r="M40" s="9">
        <v>70</v>
      </c>
      <c r="N40" s="9">
        <v>80</v>
      </c>
      <c r="O40" s="9">
        <v>90</v>
      </c>
      <c r="P40" s="9">
        <v>100</v>
      </c>
      <c r="Q40" s="9">
        <v>110</v>
      </c>
      <c r="R40" s="9">
        <v>120</v>
      </c>
      <c r="S40" s="9">
        <v>130</v>
      </c>
      <c r="T40" s="9">
        <v>140</v>
      </c>
      <c r="U40" s="9">
        <v>150</v>
      </c>
      <c r="V40" s="9">
        <v>160</v>
      </c>
    </row>
    <row r="41" spans="1:22" x14ac:dyDescent="0.25">
      <c r="A41" s="47" t="s">
        <v>60</v>
      </c>
      <c r="B41" s="66">
        <v>680</v>
      </c>
      <c r="C41" s="64" t="s">
        <v>41</v>
      </c>
      <c r="D41" s="61"/>
      <c r="E41" s="53">
        <v>3.6999999999999998E-2</v>
      </c>
      <c r="F41" s="9">
        <v>3.9E-2</v>
      </c>
      <c r="G41" s="9">
        <v>4.5999999999999999E-2</v>
      </c>
      <c r="H41" s="9">
        <v>7.6999999999999999E-2</v>
      </c>
      <c r="I41" s="9">
        <v>0.104</v>
      </c>
      <c r="J41" s="47">
        <v>0.13800000000000001</v>
      </c>
      <c r="K41" s="53">
        <v>50</v>
      </c>
      <c r="L41" s="9">
        <v>60</v>
      </c>
      <c r="M41" s="9">
        <v>70</v>
      </c>
      <c r="N41" s="9">
        <v>80</v>
      </c>
      <c r="O41" s="9">
        <v>90</v>
      </c>
      <c r="P41" s="9">
        <v>100</v>
      </c>
      <c r="Q41" s="9">
        <v>110</v>
      </c>
      <c r="R41" s="9">
        <v>120</v>
      </c>
    </row>
    <row r="42" spans="1:22" x14ac:dyDescent="0.25">
      <c r="A42" s="47" t="s">
        <v>61</v>
      </c>
      <c r="B42" s="66">
        <v>250</v>
      </c>
      <c r="C42" s="64" t="s">
        <v>41</v>
      </c>
      <c r="D42" s="61"/>
      <c r="E42" s="54">
        <v>3.4000000000000002E-2</v>
      </c>
      <c r="F42" s="47">
        <v>3.6999999999999998E-2</v>
      </c>
      <c r="G42" s="47">
        <v>4.7E-2</v>
      </c>
      <c r="K42" s="53">
        <v>20</v>
      </c>
      <c r="L42" s="9">
        <v>30</v>
      </c>
      <c r="M42" s="9">
        <v>40</v>
      </c>
      <c r="N42" s="9">
        <v>50</v>
      </c>
    </row>
    <row r="43" spans="1:22" x14ac:dyDescent="0.25">
      <c r="A43" s="47" t="s">
        <v>1008</v>
      </c>
      <c r="B43" s="66">
        <v>400</v>
      </c>
      <c r="C43" s="63" t="s">
        <v>24</v>
      </c>
      <c r="D43" s="60">
        <v>5</v>
      </c>
      <c r="E43" s="53">
        <v>3.9E-2</v>
      </c>
      <c r="F43" s="9">
        <v>4.2000000000000003E-2</v>
      </c>
      <c r="G43" s="9">
        <v>6.2E-2</v>
      </c>
      <c r="K43" s="53">
        <v>40</v>
      </c>
      <c r="L43" s="9">
        <v>50</v>
      </c>
      <c r="M43" s="9">
        <v>60</v>
      </c>
      <c r="N43" s="9">
        <v>80</v>
      </c>
      <c r="O43" s="9">
        <v>100</v>
      </c>
    </row>
    <row r="44" spans="1:22" x14ac:dyDescent="0.25">
      <c r="A44" s="47" t="s">
        <v>1009</v>
      </c>
      <c r="B44" s="66">
        <v>500</v>
      </c>
      <c r="C44" s="63" t="s">
        <v>24</v>
      </c>
      <c r="D44" s="60">
        <v>5</v>
      </c>
      <c r="E44" s="53">
        <v>3.6999999999999998E-2</v>
      </c>
      <c r="F44" s="9">
        <v>0.04</v>
      </c>
      <c r="G44" s="9">
        <v>5.0999999999999997E-2</v>
      </c>
      <c r="K44" s="53">
        <v>40</v>
      </c>
      <c r="L44" s="9">
        <v>50</v>
      </c>
      <c r="M44" s="9">
        <v>60</v>
      </c>
      <c r="N44" s="9">
        <v>80</v>
      </c>
      <c r="O44" s="9">
        <v>100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W11"/>
  <sheetViews>
    <sheetView workbookViewId="0">
      <selection activeCell="D17" sqref="D17"/>
    </sheetView>
  </sheetViews>
  <sheetFormatPr defaultRowHeight="15" x14ac:dyDescent="0.25"/>
  <cols>
    <col min="2" max="2" width="9.140625" customWidth="1"/>
  </cols>
  <sheetData>
    <row r="1" spans="2:23" ht="17.25" x14ac:dyDescent="0.25">
      <c r="B1" s="24"/>
      <c r="C1" s="24"/>
      <c r="E1" s="24"/>
      <c r="F1" s="73" t="s">
        <v>979</v>
      </c>
      <c r="G1" s="73"/>
      <c r="H1" s="73"/>
      <c r="I1" s="73"/>
      <c r="J1" s="73"/>
      <c r="K1" s="73"/>
    </row>
    <row r="2" spans="2:23" x14ac:dyDescent="0.25">
      <c r="B2" s="25"/>
      <c r="C2" s="25"/>
      <c r="E2" s="25"/>
      <c r="F2" s="74" t="s">
        <v>126</v>
      </c>
      <c r="G2" s="74"/>
      <c r="H2" s="74"/>
      <c r="I2" s="74"/>
      <c r="J2" s="74"/>
      <c r="K2" s="74"/>
      <c r="L2" t="s">
        <v>132</v>
      </c>
      <c r="M2" s="26" t="s">
        <v>1013</v>
      </c>
    </row>
    <row r="7" spans="2:23" x14ac:dyDescent="0.25">
      <c r="E7" s="39"/>
    </row>
    <row r="9" spans="2:23" x14ac:dyDescent="0.25">
      <c r="B9" t="s">
        <v>977</v>
      </c>
    </row>
    <row r="10" spans="2:23" x14ac:dyDescent="0.25">
      <c r="B10" t="s">
        <v>978</v>
      </c>
    </row>
    <row r="11" spans="2:23" ht="14.45" customHeight="1" x14ac:dyDescent="0.25">
      <c r="W11" s="23"/>
    </row>
  </sheetData>
  <mergeCells count="2">
    <mergeCell ref="F1:K1"/>
    <mergeCell ref="F2:K2"/>
  </mergeCells>
  <phoneticPr fontId="1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rub_Show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4</xdr:col>
                    <xdr:colOff>133350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losk_Show">
                <anchor moveWithCells="1" sizeWithCells="1">
                  <from>
                    <xdr:col>4</xdr:col>
                    <xdr:colOff>476250</xdr:colOff>
                    <xdr:row>3</xdr:row>
                    <xdr:rowOff>28575</xdr:rowOff>
                  </from>
                  <to>
                    <xdr:col>7</xdr:col>
                    <xdr:colOff>561975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k_Show">
                <anchor moveWithCells="1" sizeWithCells="1">
                  <from>
                    <xdr:col>8</xdr:col>
                    <xdr:colOff>219075</xdr:colOff>
                    <xdr:row>3</xdr:row>
                    <xdr:rowOff>38100</xdr:rowOff>
                  </from>
                  <to>
                    <xdr:col>11</xdr:col>
                    <xdr:colOff>390525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B31"/>
  <sheetViews>
    <sheetView tabSelected="1" workbookViewId="0">
      <selection activeCell="B2" sqref="B2"/>
    </sheetView>
  </sheetViews>
  <sheetFormatPr defaultRowHeight="15" x14ac:dyDescent="0.25"/>
  <cols>
    <col min="1" max="1" width="19.28515625" customWidth="1"/>
  </cols>
  <sheetData>
    <row r="1" spans="1:2" x14ac:dyDescent="0.25">
      <c r="A1" t="s">
        <v>1310</v>
      </c>
      <c r="B1" t="s">
        <v>1311</v>
      </c>
    </row>
    <row r="2" spans="1:2" x14ac:dyDescent="0.25">
      <c r="A2" t="s">
        <v>1347</v>
      </c>
    </row>
    <row r="8" spans="1:2" x14ac:dyDescent="0.25">
      <c r="A8" t="s">
        <v>1312</v>
      </c>
    </row>
    <row r="9" spans="1:2" x14ac:dyDescent="0.25">
      <c r="A9" t="s">
        <v>1313</v>
      </c>
    </row>
    <row r="10" spans="1:2" x14ac:dyDescent="0.25">
      <c r="A10" t="s">
        <v>1314</v>
      </c>
    </row>
    <row r="11" spans="1:2" x14ac:dyDescent="0.25">
      <c r="A11" t="s">
        <v>1315</v>
      </c>
    </row>
    <row r="12" spans="1:2" x14ac:dyDescent="0.25">
      <c r="A12" t="s">
        <v>1316</v>
      </c>
    </row>
    <row r="13" spans="1:2" x14ac:dyDescent="0.25">
      <c r="A13" t="s">
        <v>1317</v>
      </c>
    </row>
    <row r="14" spans="1:2" x14ac:dyDescent="0.25">
      <c r="A14" t="s">
        <v>1318</v>
      </c>
    </row>
    <row r="16" spans="1:2" x14ac:dyDescent="0.25">
      <c r="A16" t="s">
        <v>1319</v>
      </c>
    </row>
    <row r="17" spans="1:2" x14ac:dyDescent="0.25">
      <c r="A17" t="s">
        <v>1320</v>
      </c>
    </row>
    <row r="18" spans="1:2" x14ac:dyDescent="0.25">
      <c r="A18" t="s">
        <v>1321</v>
      </c>
    </row>
    <row r="19" spans="1:2" x14ac:dyDescent="0.25">
      <c r="A19" t="s">
        <v>1322</v>
      </c>
    </row>
    <row r="21" spans="1:2" x14ac:dyDescent="0.25">
      <c r="A21" t="s">
        <v>1323</v>
      </c>
    </row>
    <row r="22" spans="1:2" x14ac:dyDescent="0.25">
      <c r="A22" t="s">
        <v>1324</v>
      </c>
    </row>
    <row r="23" spans="1:2" x14ac:dyDescent="0.25">
      <c r="A23" t="s">
        <v>1325</v>
      </c>
    </row>
    <row r="24" spans="1:2" x14ac:dyDescent="0.25">
      <c r="A24" t="s">
        <v>1326</v>
      </c>
    </row>
    <row r="25" spans="1:2" x14ac:dyDescent="0.25">
      <c r="A25" t="s">
        <v>1327</v>
      </c>
    </row>
    <row r="27" spans="1:2" x14ac:dyDescent="0.25">
      <c r="A27" t="s">
        <v>1328</v>
      </c>
      <c r="B27" t="s">
        <v>1332</v>
      </c>
    </row>
    <row r="29" spans="1:2" x14ac:dyDescent="0.25">
      <c r="A29" t="s">
        <v>1331</v>
      </c>
      <c r="B29" t="s">
        <v>1333</v>
      </c>
    </row>
    <row r="30" spans="1:2" x14ac:dyDescent="0.25">
      <c r="A30" t="s">
        <v>1335</v>
      </c>
      <c r="B30" t="s">
        <v>1336</v>
      </c>
    </row>
    <row r="31" spans="1:2" x14ac:dyDescent="0.25">
      <c r="A31" t="s">
        <v>1334</v>
      </c>
      <c r="B31" t="s">
        <v>1337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D9"/>
  <sheetViews>
    <sheetView workbookViewId="0">
      <selection activeCell="L15" sqref="L15"/>
    </sheetView>
  </sheetViews>
  <sheetFormatPr defaultRowHeight="15" x14ac:dyDescent="0.25"/>
  <cols>
    <col min="1" max="1" width="12.85546875" bestFit="1" customWidth="1"/>
    <col min="2" max="2" width="40.42578125" bestFit="1" customWidth="1"/>
    <col min="3" max="3" width="9" bestFit="1" customWidth="1"/>
    <col min="4" max="4" width="10" bestFit="1" customWidth="1"/>
  </cols>
  <sheetData>
    <row r="1" spans="1:4" ht="15.75" thickBot="1" x14ac:dyDescent="0.3">
      <c r="A1" s="11" t="s">
        <v>69</v>
      </c>
      <c r="B1" s="12" t="s">
        <v>70</v>
      </c>
      <c r="C1" s="12" t="s">
        <v>71</v>
      </c>
      <c r="D1" s="12" t="s">
        <v>113</v>
      </c>
    </row>
    <row r="2" spans="1:4" x14ac:dyDescent="0.25">
      <c r="A2" s="13">
        <v>4</v>
      </c>
      <c r="B2" s="15" t="s">
        <v>73</v>
      </c>
      <c r="C2" s="16"/>
      <c r="D2" s="16"/>
    </row>
    <row r="3" spans="1:4" ht="25.5" x14ac:dyDescent="0.25">
      <c r="A3" s="13" t="s">
        <v>74</v>
      </c>
      <c r="B3" s="15" t="s">
        <v>75</v>
      </c>
      <c r="C3" s="16" t="s">
        <v>76</v>
      </c>
      <c r="D3" s="16">
        <v>7.26E-3</v>
      </c>
    </row>
    <row r="4" spans="1:4" ht="25.5" x14ac:dyDescent="0.25">
      <c r="A4" s="13" t="s">
        <v>88</v>
      </c>
      <c r="B4" s="15" t="s">
        <v>89</v>
      </c>
      <c r="C4" s="16" t="s">
        <v>76</v>
      </c>
      <c r="D4" s="16">
        <v>2E-3</v>
      </c>
    </row>
    <row r="5" spans="1:4" ht="25.5" x14ac:dyDescent="0.25">
      <c r="A5" s="13" t="s">
        <v>114</v>
      </c>
      <c r="B5" s="15" t="s">
        <v>115</v>
      </c>
      <c r="C5" s="16" t="s">
        <v>76</v>
      </c>
      <c r="D5" s="16">
        <v>3.0000000000000001E-3</v>
      </c>
    </row>
    <row r="6" spans="1:4" ht="25.5" x14ac:dyDescent="0.25">
      <c r="A6" s="13" t="s">
        <v>77</v>
      </c>
      <c r="B6" s="15" t="s">
        <v>78</v>
      </c>
      <c r="C6" s="16" t="s">
        <v>76</v>
      </c>
      <c r="D6" s="16">
        <v>6.0000000000000002E-5</v>
      </c>
    </row>
    <row r="7" spans="1:4" ht="25.5" x14ac:dyDescent="0.25">
      <c r="A7" s="13" t="s">
        <v>116</v>
      </c>
      <c r="B7" s="15" t="s">
        <v>117</v>
      </c>
      <c r="C7" s="16" t="s">
        <v>87</v>
      </c>
      <c r="D7" s="16">
        <v>0.5</v>
      </c>
    </row>
    <row r="8" spans="1:4" ht="25.5" x14ac:dyDescent="0.25">
      <c r="A8" s="13" t="s">
        <v>118</v>
      </c>
      <c r="B8" s="15" t="s">
        <v>119</v>
      </c>
      <c r="C8" s="16" t="s">
        <v>87</v>
      </c>
      <c r="D8" s="16">
        <v>1.4</v>
      </c>
    </row>
    <row r="9" spans="1:4" ht="16.5" thickBot="1" x14ac:dyDescent="0.3">
      <c r="A9" s="17" t="s">
        <v>120</v>
      </c>
      <c r="B9" s="18" t="s">
        <v>121</v>
      </c>
      <c r="C9" s="19" t="s">
        <v>84</v>
      </c>
      <c r="D9" s="19">
        <v>1.032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F11"/>
  <sheetViews>
    <sheetView workbookViewId="0">
      <selection activeCell="L15" sqref="L15"/>
    </sheetView>
  </sheetViews>
  <sheetFormatPr defaultRowHeight="15" x14ac:dyDescent="0.25"/>
  <cols>
    <col min="1" max="1" width="12.42578125" bestFit="1" customWidth="1"/>
    <col min="2" max="2" width="43.7109375" bestFit="1" customWidth="1"/>
    <col min="3" max="3" width="9" bestFit="1" customWidth="1"/>
    <col min="4" max="6" width="9.5703125" bestFit="1" customWidth="1"/>
  </cols>
  <sheetData>
    <row r="1" spans="1:6" ht="15.75" thickBot="1" x14ac:dyDescent="0.3">
      <c r="A1" s="11" t="s">
        <v>98</v>
      </c>
      <c r="B1" s="12" t="s">
        <v>70</v>
      </c>
      <c r="C1" s="12" t="s">
        <v>71</v>
      </c>
      <c r="D1" s="12" t="s">
        <v>99</v>
      </c>
      <c r="E1" s="12" t="s">
        <v>100</v>
      </c>
      <c r="F1" s="12" t="s">
        <v>101</v>
      </c>
    </row>
    <row r="2" spans="1:6" x14ac:dyDescent="0.25">
      <c r="A2" s="13">
        <v>4</v>
      </c>
      <c r="B2" s="15" t="s">
        <v>73</v>
      </c>
      <c r="C2" s="16"/>
      <c r="D2" s="16"/>
      <c r="E2" s="16"/>
      <c r="F2" s="16"/>
    </row>
    <row r="3" spans="1:6" ht="15.75" x14ac:dyDescent="0.25">
      <c r="A3" s="13" t="s">
        <v>102</v>
      </c>
      <c r="B3" s="15" t="s">
        <v>103</v>
      </c>
      <c r="C3" s="16" t="s">
        <v>81</v>
      </c>
      <c r="D3" s="16">
        <v>122</v>
      </c>
      <c r="E3" s="16" t="s">
        <v>41</v>
      </c>
      <c r="F3" s="16" t="s">
        <v>41</v>
      </c>
    </row>
    <row r="4" spans="1:6" ht="25.5" x14ac:dyDescent="0.25">
      <c r="A4" s="13" t="s">
        <v>104</v>
      </c>
      <c r="B4" s="15" t="s">
        <v>105</v>
      </c>
      <c r="C4" s="16" t="s">
        <v>87</v>
      </c>
      <c r="D4" s="16">
        <v>4.55</v>
      </c>
      <c r="E4" s="16" t="s">
        <v>41</v>
      </c>
      <c r="F4" s="16" t="s">
        <v>41</v>
      </c>
    </row>
    <row r="5" spans="1:6" x14ac:dyDescent="0.25">
      <c r="A5" s="13" t="s">
        <v>85</v>
      </c>
      <c r="B5" s="15" t="s">
        <v>86</v>
      </c>
      <c r="C5" s="16" t="s">
        <v>87</v>
      </c>
      <c r="D5" s="16">
        <v>18.71</v>
      </c>
      <c r="E5" s="16" t="s">
        <v>41</v>
      </c>
      <c r="F5" s="16" t="s">
        <v>41</v>
      </c>
    </row>
    <row r="6" spans="1:6" x14ac:dyDescent="0.25">
      <c r="A6" s="13" t="s">
        <v>92</v>
      </c>
      <c r="B6" s="15" t="s">
        <v>93</v>
      </c>
      <c r="C6" s="16" t="s">
        <v>76</v>
      </c>
      <c r="D6" s="16">
        <v>1.6999999999999999E-3</v>
      </c>
      <c r="E6" s="16">
        <v>1.6999999999999999E-3</v>
      </c>
      <c r="F6" s="16">
        <v>1.6999999999999999E-3</v>
      </c>
    </row>
    <row r="7" spans="1:6" ht="15.75" x14ac:dyDescent="0.25">
      <c r="A7" s="13" t="s">
        <v>106</v>
      </c>
      <c r="B7" s="15" t="s">
        <v>107</v>
      </c>
      <c r="C7" s="16" t="s">
        <v>81</v>
      </c>
      <c r="D7" s="16" t="s">
        <v>41</v>
      </c>
      <c r="E7" s="16">
        <v>122</v>
      </c>
      <c r="F7" s="16" t="s">
        <v>41</v>
      </c>
    </row>
    <row r="8" spans="1:6" ht="25.5" x14ac:dyDescent="0.25">
      <c r="A8" s="13" t="s">
        <v>74</v>
      </c>
      <c r="B8" s="15" t="s">
        <v>75</v>
      </c>
      <c r="C8" s="16" t="s">
        <v>76</v>
      </c>
      <c r="D8" s="16" t="s">
        <v>41</v>
      </c>
      <c r="E8" s="16">
        <v>1.1560000000000001E-2</v>
      </c>
      <c r="F8" s="16">
        <v>1.1560000000000001E-2</v>
      </c>
    </row>
    <row r="9" spans="1:6" x14ac:dyDescent="0.25">
      <c r="A9" s="13" t="s">
        <v>77</v>
      </c>
      <c r="B9" s="15" t="s">
        <v>108</v>
      </c>
      <c r="C9" s="16" t="s">
        <v>76</v>
      </c>
      <c r="D9" s="16" t="s">
        <v>41</v>
      </c>
      <c r="E9" s="16">
        <v>4.2770000000000002E-2</v>
      </c>
      <c r="F9" s="16">
        <v>4.3990000000000001E-2</v>
      </c>
    </row>
    <row r="10" spans="1:6" x14ac:dyDescent="0.25">
      <c r="A10" s="13" t="s">
        <v>109</v>
      </c>
      <c r="B10" s="15" t="s">
        <v>110</v>
      </c>
      <c r="C10" s="16" t="s">
        <v>76</v>
      </c>
      <c r="D10" s="16" t="s">
        <v>41</v>
      </c>
      <c r="E10" s="16">
        <v>4.6999999999999999E-4</v>
      </c>
      <c r="F10" s="16">
        <v>4.6999999999999999E-4</v>
      </c>
    </row>
    <row r="11" spans="1:6" ht="16.5" thickBot="1" x14ac:dyDescent="0.3">
      <c r="A11" s="17" t="s">
        <v>111</v>
      </c>
      <c r="B11" s="18" t="s">
        <v>112</v>
      </c>
      <c r="C11" s="19" t="s">
        <v>81</v>
      </c>
      <c r="D11" s="19" t="s">
        <v>41</v>
      </c>
      <c r="E11" s="19" t="s">
        <v>41</v>
      </c>
      <c r="F11" s="19">
        <v>122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D8"/>
  <sheetViews>
    <sheetView workbookViewId="0">
      <selection activeCell="L15" sqref="L15"/>
    </sheetView>
  </sheetViews>
  <sheetFormatPr defaultColWidth="12.7109375" defaultRowHeight="15" x14ac:dyDescent="0.25"/>
  <cols>
    <col min="1" max="1" width="7.5703125" bestFit="1" customWidth="1"/>
    <col min="2" max="2" width="55.5703125" bestFit="1" customWidth="1"/>
    <col min="3" max="3" width="9" bestFit="1" customWidth="1"/>
    <col min="4" max="4" width="10" bestFit="1" customWidth="1"/>
  </cols>
  <sheetData>
    <row r="1" spans="1:4" ht="26.25" thickBot="1" x14ac:dyDescent="0.3">
      <c r="A1" s="11" t="s">
        <v>69</v>
      </c>
      <c r="B1" s="12" t="s">
        <v>70</v>
      </c>
      <c r="C1" s="12" t="s">
        <v>71</v>
      </c>
      <c r="D1" s="12" t="s">
        <v>95</v>
      </c>
    </row>
    <row r="2" spans="1:4" x14ac:dyDescent="0.25">
      <c r="A2" s="13">
        <v>4</v>
      </c>
      <c r="B2" s="15" t="s">
        <v>73</v>
      </c>
      <c r="C2" s="16"/>
      <c r="D2" s="16"/>
    </row>
    <row r="3" spans="1:4" ht="25.5" x14ac:dyDescent="0.25">
      <c r="A3" s="13" t="s">
        <v>74</v>
      </c>
      <c r="B3" s="15" t="s">
        <v>75</v>
      </c>
      <c r="C3" s="16" t="s">
        <v>76</v>
      </c>
      <c r="D3" s="16">
        <v>1.09E-2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3.9E-2</v>
      </c>
    </row>
    <row r="5" spans="1:4" x14ac:dyDescent="0.25">
      <c r="A5" s="13" t="s">
        <v>92</v>
      </c>
      <c r="B5" s="15" t="s">
        <v>93</v>
      </c>
      <c r="C5" s="16" t="s">
        <v>76</v>
      </c>
      <c r="D5" s="16">
        <v>4.0000000000000003E-5</v>
      </c>
    </row>
    <row r="6" spans="1:4" ht="25.5" x14ac:dyDescent="0.25">
      <c r="A6" s="13" t="s">
        <v>88</v>
      </c>
      <c r="B6" s="15" t="s">
        <v>89</v>
      </c>
      <c r="C6" s="16" t="s">
        <v>76</v>
      </c>
      <c r="D6" s="16">
        <v>1.1000000000000001E-3</v>
      </c>
    </row>
    <row r="7" spans="1:4" ht="26.25" thickBot="1" x14ac:dyDescent="0.3">
      <c r="A7" s="17" t="s">
        <v>90</v>
      </c>
      <c r="B7" s="18" t="s">
        <v>91</v>
      </c>
      <c r="C7" s="19" t="s">
        <v>76</v>
      </c>
      <c r="D7" s="19">
        <v>4.0000000000000001E-3</v>
      </c>
    </row>
    <row r="8" spans="1:4" ht="25.5" x14ac:dyDescent="0.25">
      <c r="A8" s="13" t="s">
        <v>96</v>
      </c>
      <c r="B8" s="15" t="s">
        <v>97</v>
      </c>
      <c r="C8" s="16" t="s">
        <v>84</v>
      </c>
      <c r="D8" s="16">
        <v>1.032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D9"/>
  <sheetViews>
    <sheetView workbookViewId="0">
      <selection activeCell="L15" sqref="L15"/>
    </sheetView>
  </sheetViews>
  <sheetFormatPr defaultRowHeight="15" x14ac:dyDescent="0.25"/>
  <cols>
    <col min="1" max="1" width="12.85546875" bestFit="1" customWidth="1"/>
    <col min="2" max="2" width="57.28515625" customWidth="1"/>
    <col min="3" max="3" width="9" bestFit="1" customWidth="1"/>
    <col min="4" max="4" width="10" bestFit="1" customWidth="1"/>
  </cols>
  <sheetData>
    <row r="1" spans="1:4" ht="15.75" thickBot="1" x14ac:dyDescent="0.3">
      <c r="A1" s="11" t="s">
        <v>69</v>
      </c>
      <c r="B1" s="12" t="s">
        <v>70</v>
      </c>
      <c r="C1" s="12" t="s">
        <v>71</v>
      </c>
      <c r="D1" s="12" t="s">
        <v>94</v>
      </c>
    </row>
    <row r="2" spans="1:4" x14ac:dyDescent="0.25">
      <c r="A2" s="20">
        <v>4</v>
      </c>
      <c r="B2" s="21" t="s">
        <v>73</v>
      </c>
      <c r="C2" s="22"/>
      <c r="D2" s="22"/>
    </row>
    <row r="3" spans="1:4" ht="25.5" x14ac:dyDescent="0.25">
      <c r="A3" s="13" t="s">
        <v>74</v>
      </c>
      <c r="B3" s="14" t="s">
        <v>75</v>
      </c>
      <c r="C3" s="16" t="s">
        <v>76</v>
      </c>
      <c r="D3" s="16">
        <v>1.06E-2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2.6499999999999999E-2</v>
      </c>
    </row>
    <row r="5" spans="1:4" x14ac:dyDescent="0.25">
      <c r="A5" s="13" t="s">
        <v>85</v>
      </c>
      <c r="B5" s="15" t="s">
        <v>86</v>
      </c>
      <c r="C5" s="16" t="s">
        <v>87</v>
      </c>
      <c r="D5" s="16">
        <v>0.56000000000000005</v>
      </c>
    </row>
    <row r="6" spans="1:4" ht="25.5" x14ac:dyDescent="0.25">
      <c r="A6" s="13" t="s">
        <v>88</v>
      </c>
      <c r="B6" s="15" t="s">
        <v>89</v>
      </c>
      <c r="C6" s="16" t="s">
        <v>76</v>
      </c>
      <c r="D6" s="16">
        <v>1E-3</v>
      </c>
    </row>
    <row r="7" spans="1:4" x14ac:dyDescent="0.25">
      <c r="A7" s="13" t="s">
        <v>92</v>
      </c>
      <c r="B7" s="15" t="s">
        <v>93</v>
      </c>
      <c r="C7" s="16" t="s">
        <v>76</v>
      </c>
      <c r="D7" s="16">
        <v>4.0000000000000003E-5</v>
      </c>
    </row>
    <row r="8" spans="1:4" ht="26.25" thickBot="1" x14ac:dyDescent="0.3">
      <c r="A8" s="17" t="s">
        <v>90</v>
      </c>
      <c r="B8" s="18" t="s">
        <v>91</v>
      </c>
      <c r="C8" s="19" t="s">
        <v>76</v>
      </c>
      <c r="D8" s="19">
        <v>1.23E-3</v>
      </c>
    </row>
    <row r="9" spans="1:4" ht="15.75" x14ac:dyDescent="0.25">
      <c r="A9" s="13" t="s">
        <v>82</v>
      </c>
      <c r="B9" s="15" t="s">
        <v>83</v>
      </c>
      <c r="C9" s="16" t="s">
        <v>84</v>
      </c>
      <c r="D9" s="16">
        <v>1.24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D10"/>
  <sheetViews>
    <sheetView workbookViewId="0">
      <selection activeCell="L15" sqref="L15"/>
    </sheetView>
  </sheetViews>
  <sheetFormatPr defaultRowHeight="15" x14ac:dyDescent="0.25"/>
  <cols>
    <col min="1" max="1" width="7.5703125" bestFit="1" customWidth="1"/>
    <col min="2" max="2" width="62.28515625" bestFit="1" customWidth="1"/>
    <col min="3" max="3" width="9" bestFit="1" customWidth="1"/>
    <col min="4" max="4" width="10" bestFit="1" customWidth="1"/>
  </cols>
  <sheetData>
    <row r="1" spans="1:4" ht="26.25" thickBot="1" x14ac:dyDescent="0.3">
      <c r="A1" s="11" t="s">
        <v>69</v>
      </c>
      <c r="B1" s="12" t="s">
        <v>70</v>
      </c>
      <c r="C1" s="12" t="s">
        <v>71</v>
      </c>
      <c r="D1" s="12" t="s">
        <v>72</v>
      </c>
    </row>
    <row r="2" spans="1:4" x14ac:dyDescent="0.25">
      <c r="A2" s="13">
        <v>4</v>
      </c>
      <c r="B2" s="15" t="s">
        <v>73</v>
      </c>
      <c r="C2" s="16"/>
      <c r="D2" s="16"/>
    </row>
    <row r="3" spans="1:4" x14ac:dyDescent="0.25">
      <c r="A3" s="13" t="s">
        <v>74</v>
      </c>
      <c r="B3" s="15" t="s">
        <v>75</v>
      </c>
      <c r="C3" s="16" t="s">
        <v>76</v>
      </c>
      <c r="D3" s="16">
        <v>9.5999999999999992E-3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2.6499999999999999E-2</v>
      </c>
    </row>
    <row r="5" spans="1:4" ht="15.75" x14ac:dyDescent="0.25">
      <c r="A5" s="13" t="s">
        <v>79</v>
      </c>
      <c r="B5" s="15" t="s">
        <v>80</v>
      </c>
      <c r="C5" s="16" t="s">
        <v>81</v>
      </c>
      <c r="D5" s="16">
        <v>2.2040000000000002</v>
      </c>
    </row>
    <row r="6" spans="1:4" x14ac:dyDescent="0.25">
      <c r="A6" s="13" t="s">
        <v>85</v>
      </c>
      <c r="B6" s="15" t="s">
        <v>86</v>
      </c>
      <c r="C6" s="16" t="s">
        <v>87</v>
      </c>
      <c r="D6" s="16">
        <v>0.78</v>
      </c>
    </row>
    <row r="7" spans="1:4" ht="25.5" x14ac:dyDescent="0.25">
      <c r="A7" s="13" t="s">
        <v>88</v>
      </c>
      <c r="B7" s="15" t="s">
        <v>89</v>
      </c>
      <c r="C7" s="16" t="s">
        <v>76</v>
      </c>
      <c r="D7" s="16">
        <v>5.2999999999999998E-4</v>
      </c>
    </row>
    <row r="8" spans="1:4" ht="25.5" x14ac:dyDescent="0.25">
      <c r="A8" s="13" t="s">
        <v>90</v>
      </c>
      <c r="B8" s="15" t="s">
        <v>91</v>
      </c>
      <c r="C8" s="16" t="s">
        <v>76</v>
      </c>
      <c r="D8" s="16">
        <v>1.01E-3</v>
      </c>
    </row>
    <row r="9" spans="1:4" ht="15.75" thickBot="1" x14ac:dyDescent="0.3">
      <c r="A9" s="17" t="s">
        <v>92</v>
      </c>
      <c r="B9" s="18" t="s">
        <v>93</v>
      </c>
      <c r="C9" s="19" t="s">
        <v>76</v>
      </c>
      <c r="D9" s="19">
        <v>4.0000000000000003E-5</v>
      </c>
    </row>
    <row r="10" spans="1:4" ht="15.75" x14ac:dyDescent="0.25">
      <c r="A10" s="13" t="s">
        <v>82</v>
      </c>
      <c r="B10" s="15" t="s">
        <v>83</v>
      </c>
      <c r="C10" s="16" t="s">
        <v>84</v>
      </c>
      <c r="D10" s="16">
        <v>2.06</v>
      </c>
    </row>
  </sheetData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5"/>
  <sheetViews>
    <sheetView workbookViewId="0">
      <selection activeCell="L15" sqref="L15"/>
    </sheetView>
  </sheetViews>
  <sheetFormatPr defaultRowHeight="15" x14ac:dyDescent="0.25"/>
  <cols>
    <col min="1" max="1" width="26" customWidth="1"/>
    <col min="2" max="2" width="16.85546875" customWidth="1"/>
    <col min="3" max="3" width="16.5703125" customWidth="1"/>
    <col min="4" max="4" width="16.7109375" customWidth="1"/>
    <col min="5" max="5" width="20.85546875" customWidth="1"/>
  </cols>
  <sheetData>
    <row r="1" spans="1:5" ht="60" x14ac:dyDescent="0.25">
      <c r="B1" s="10" t="s">
        <v>122</v>
      </c>
      <c r="C1" s="10" t="s">
        <v>123</v>
      </c>
      <c r="D1" s="10" t="s">
        <v>124</v>
      </c>
      <c r="E1" s="10" t="s">
        <v>125</v>
      </c>
    </row>
    <row r="2" spans="1:5" x14ac:dyDescent="0.25">
      <c r="A2" t="s">
        <v>62</v>
      </c>
      <c r="B2">
        <v>4.1870000000000003</v>
      </c>
      <c r="C2">
        <v>998.2</v>
      </c>
      <c r="D2">
        <v>0</v>
      </c>
      <c r="E2">
        <v>335</v>
      </c>
    </row>
    <row r="3" spans="1:5" x14ac:dyDescent="0.25">
      <c r="A3" t="s">
        <v>129</v>
      </c>
      <c r="B3">
        <v>2.5943999999999998</v>
      </c>
      <c r="C3">
        <v>5.1449999999999996</v>
      </c>
      <c r="D3">
        <v>0</v>
      </c>
      <c r="E3">
        <v>2349</v>
      </c>
    </row>
    <row r="4" spans="1:5" x14ac:dyDescent="0.25">
      <c r="A4" t="s">
        <v>130</v>
      </c>
      <c r="B4">
        <v>3.0247999999999999</v>
      </c>
      <c r="C4">
        <v>9.5670000000000002</v>
      </c>
      <c r="D4">
        <v>0</v>
      </c>
      <c r="E4">
        <v>2224</v>
      </c>
    </row>
    <row r="5" spans="1:5" x14ac:dyDescent="0.25">
      <c r="A5" t="s">
        <v>131</v>
      </c>
      <c r="B5">
        <v>6.7385000000000002</v>
      </c>
      <c r="C5">
        <v>55.59</v>
      </c>
      <c r="D5">
        <v>0</v>
      </c>
      <c r="E5">
        <v>1655</v>
      </c>
    </row>
  </sheetData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G7"/>
  <sheetViews>
    <sheetView workbookViewId="0">
      <selection activeCell="L15" sqref="L15"/>
    </sheetView>
  </sheetViews>
  <sheetFormatPr defaultRowHeight="15" x14ac:dyDescent="0.25"/>
  <sheetData>
    <row r="1" spans="1:7" ht="15.75" thickBot="1" x14ac:dyDescent="0.3">
      <c r="A1" s="75" t="s">
        <v>18</v>
      </c>
      <c r="B1" s="77" t="s">
        <v>19</v>
      </c>
      <c r="C1" s="78"/>
      <c r="D1" s="78"/>
      <c r="E1" s="78"/>
      <c r="F1" s="78"/>
      <c r="G1" s="79"/>
    </row>
    <row r="2" spans="1:7" ht="15.75" thickBot="1" x14ac:dyDescent="0.3">
      <c r="A2" s="76"/>
      <c r="B2" s="4">
        <v>40</v>
      </c>
      <c r="C2" s="4">
        <v>50</v>
      </c>
      <c r="D2" s="4">
        <v>60</v>
      </c>
      <c r="E2" s="4">
        <v>70</v>
      </c>
      <c r="F2" s="4">
        <v>80</v>
      </c>
      <c r="G2" s="4">
        <v>90</v>
      </c>
    </row>
    <row r="3" spans="1:7" ht="15.75" thickBot="1" x14ac:dyDescent="0.3">
      <c r="A3" s="5">
        <v>10</v>
      </c>
      <c r="B3" s="4">
        <v>13.4</v>
      </c>
      <c r="C3" s="4">
        <v>10.4</v>
      </c>
      <c r="D3" s="4">
        <v>7.8</v>
      </c>
      <c r="E3" s="4">
        <v>5.5</v>
      </c>
      <c r="F3" s="4">
        <v>3.5</v>
      </c>
      <c r="G3" s="4">
        <v>1.6</v>
      </c>
    </row>
    <row r="4" spans="1:7" ht="15.75" thickBot="1" x14ac:dyDescent="0.3">
      <c r="A4" s="5">
        <v>15</v>
      </c>
      <c r="B4" s="4">
        <v>14.2</v>
      </c>
      <c r="C4" s="4">
        <v>10.9</v>
      </c>
      <c r="D4" s="4">
        <v>9.1</v>
      </c>
      <c r="E4" s="4">
        <v>5.7</v>
      </c>
      <c r="F4" s="4">
        <v>3.6</v>
      </c>
      <c r="G4" s="4">
        <v>1.7</v>
      </c>
    </row>
    <row r="5" spans="1:7" ht="15.75" thickBot="1" x14ac:dyDescent="0.3">
      <c r="A5" s="5">
        <v>20</v>
      </c>
      <c r="B5" s="4">
        <v>14.8</v>
      </c>
      <c r="C5" s="4">
        <v>11.3</v>
      </c>
      <c r="D5" s="4">
        <v>8.4</v>
      </c>
      <c r="E5" s="4">
        <v>5.9</v>
      </c>
      <c r="F5" s="4">
        <v>3.7</v>
      </c>
      <c r="G5" s="4">
        <v>1.8</v>
      </c>
    </row>
    <row r="6" spans="1:7" ht="15.75" thickBot="1" x14ac:dyDescent="0.3">
      <c r="A6" s="5">
        <v>25</v>
      </c>
      <c r="B6" s="4">
        <v>15.3</v>
      </c>
      <c r="C6" s="4">
        <v>11.7</v>
      </c>
      <c r="D6" s="4">
        <v>8.6999999999999993</v>
      </c>
      <c r="E6" s="4">
        <v>6.1</v>
      </c>
      <c r="F6" s="4">
        <v>3.8</v>
      </c>
      <c r="G6" s="4">
        <v>1.9</v>
      </c>
    </row>
    <row r="7" spans="1:7" ht="15.75" thickBot="1" x14ac:dyDescent="0.3">
      <c r="A7" s="5">
        <v>30</v>
      </c>
      <c r="B7" s="4">
        <v>15.9</v>
      </c>
      <c r="C7" s="4">
        <v>12.2</v>
      </c>
      <c r="D7" s="4">
        <v>9</v>
      </c>
      <c r="E7" s="4">
        <v>6.3</v>
      </c>
      <c r="F7" s="4">
        <v>4</v>
      </c>
      <c r="G7" s="4">
        <v>2</v>
      </c>
    </row>
  </sheetData>
  <mergeCells count="2">
    <mergeCell ref="A1:A2"/>
    <mergeCell ref="B1:G1"/>
  </mergeCells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23"/>
  <sheetViews>
    <sheetView workbookViewId="0">
      <selection activeCell="L15" sqref="L15"/>
    </sheetView>
  </sheetViews>
  <sheetFormatPr defaultRowHeight="15" x14ac:dyDescent="0.25"/>
  <cols>
    <col min="1" max="1" width="12.42578125" customWidth="1"/>
  </cols>
  <sheetData>
    <row r="1" spans="1:10" ht="16.5" thickBot="1" x14ac:dyDescent="0.3">
      <c r="A1" s="6" t="s">
        <v>17</v>
      </c>
    </row>
    <row r="2" spans="1:10" ht="27.75" customHeight="1" thickBot="1" x14ac:dyDescent="0.3">
      <c r="A2" s="80" t="s">
        <v>11</v>
      </c>
      <c r="B2" s="77" t="s">
        <v>12</v>
      </c>
      <c r="C2" s="78"/>
      <c r="D2" s="78"/>
      <c r="E2" s="78"/>
      <c r="F2" s="78"/>
      <c r="G2" s="79"/>
      <c r="H2" s="83" t="s">
        <v>13</v>
      </c>
      <c r="I2" s="84"/>
      <c r="J2" s="85"/>
    </row>
    <row r="3" spans="1:10" ht="30" customHeight="1" thickBot="1" x14ac:dyDescent="0.3">
      <c r="A3" s="81"/>
      <c r="B3" s="77" t="s">
        <v>14</v>
      </c>
      <c r="C3" s="78"/>
      <c r="D3" s="79"/>
      <c r="E3" s="77" t="s">
        <v>15</v>
      </c>
      <c r="F3" s="78"/>
      <c r="G3" s="79"/>
      <c r="H3" s="86"/>
      <c r="I3" s="87"/>
      <c r="J3" s="88"/>
    </row>
    <row r="4" spans="1:10" ht="15.75" thickBot="1" x14ac:dyDescent="0.3">
      <c r="A4" s="81"/>
      <c r="B4" s="77" t="s">
        <v>16</v>
      </c>
      <c r="C4" s="78"/>
      <c r="D4" s="78"/>
      <c r="E4" s="78"/>
      <c r="F4" s="78"/>
      <c r="G4" s="78"/>
      <c r="H4" s="78"/>
      <c r="I4" s="78"/>
      <c r="J4" s="79"/>
    </row>
    <row r="5" spans="1:10" ht="15.75" thickBot="1" x14ac:dyDescent="0.3">
      <c r="A5" s="82"/>
      <c r="B5" s="4">
        <v>100</v>
      </c>
      <c r="C5" s="4">
        <v>300</v>
      </c>
      <c r="D5" s="4">
        <v>500</v>
      </c>
      <c r="E5" s="4">
        <v>100</v>
      </c>
      <c r="F5" s="4">
        <v>300</v>
      </c>
      <c r="G5" s="4">
        <v>500</v>
      </c>
      <c r="H5" s="4">
        <v>100</v>
      </c>
      <c r="I5" s="4">
        <v>300</v>
      </c>
      <c r="J5" s="4">
        <v>500</v>
      </c>
    </row>
    <row r="6" spans="1:10" x14ac:dyDescent="0.25">
      <c r="A6" s="7">
        <v>32</v>
      </c>
      <c r="B6" s="8">
        <v>0.5</v>
      </c>
      <c r="C6" s="8">
        <v>0.35</v>
      </c>
      <c r="D6" s="8">
        <v>0.3</v>
      </c>
      <c r="E6" s="8">
        <v>0.33</v>
      </c>
      <c r="F6" s="8">
        <v>0.22</v>
      </c>
      <c r="G6" s="8">
        <v>0.17</v>
      </c>
      <c r="H6" s="8">
        <v>0.12</v>
      </c>
      <c r="I6" s="8">
        <v>0.09</v>
      </c>
      <c r="J6" s="8">
        <v>7.0000000000000007E-2</v>
      </c>
    </row>
    <row r="7" spans="1:10" x14ac:dyDescent="0.25">
      <c r="A7" s="7">
        <v>40</v>
      </c>
      <c r="B7" s="8">
        <v>0.45</v>
      </c>
      <c r="C7" s="8">
        <v>0.3</v>
      </c>
      <c r="D7" s="8">
        <v>0.25</v>
      </c>
      <c r="E7" s="8">
        <v>0.28999999999999998</v>
      </c>
      <c r="F7" s="8">
        <v>0.2</v>
      </c>
      <c r="G7" s="8">
        <v>0.15</v>
      </c>
      <c r="H7" s="8">
        <v>0.1</v>
      </c>
      <c r="I7" s="8">
        <v>7.0000000000000007E-2</v>
      </c>
      <c r="J7" s="8">
        <v>0.05</v>
      </c>
    </row>
    <row r="8" spans="1:10" x14ac:dyDescent="0.25">
      <c r="A8" s="7">
        <v>50</v>
      </c>
      <c r="B8" s="8">
        <v>0.4</v>
      </c>
      <c r="C8" s="8">
        <v>0.25</v>
      </c>
      <c r="D8" s="8">
        <v>0.2</v>
      </c>
      <c r="E8" s="8">
        <v>0.25</v>
      </c>
      <c r="F8" s="8">
        <v>0.17</v>
      </c>
      <c r="G8" s="8">
        <v>0.13</v>
      </c>
      <c r="H8" s="8">
        <v>0.09</v>
      </c>
      <c r="I8" s="8">
        <v>0.06</v>
      </c>
      <c r="J8" s="8">
        <v>0.04</v>
      </c>
    </row>
    <row r="9" spans="1:10" x14ac:dyDescent="0.25">
      <c r="A9" s="7">
        <v>100</v>
      </c>
      <c r="B9" s="8">
        <v>0.25</v>
      </c>
      <c r="C9" s="8">
        <v>0.19</v>
      </c>
      <c r="D9" s="8">
        <v>0.15</v>
      </c>
      <c r="E9" s="8">
        <v>0.15</v>
      </c>
      <c r="F9" s="8">
        <v>0.11</v>
      </c>
      <c r="G9" s="8">
        <v>0.1</v>
      </c>
      <c r="H9" s="8">
        <v>7.0000000000000007E-2</v>
      </c>
      <c r="I9" s="8">
        <v>0.05</v>
      </c>
      <c r="J9" s="8">
        <v>0.04</v>
      </c>
    </row>
    <row r="10" spans="1:10" x14ac:dyDescent="0.25">
      <c r="A10" s="7">
        <v>125</v>
      </c>
      <c r="B10" s="8">
        <v>0.21</v>
      </c>
      <c r="C10" s="8">
        <v>0.17</v>
      </c>
      <c r="D10" s="8">
        <v>0.13</v>
      </c>
      <c r="E10" s="8">
        <v>0.13</v>
      </c>
      <c r="F10" s="8">
        <v>0.1</v>
      </c>
      <c r="G10" s="8">
        <v>0.09</v>
      </c>
      <c r="H10" s="8">
        <v>0.05</v>
      </c>
      <c r="I10" s="8">
        <v>0.04</v>
      </c>
      <c r="J10" s="8">
        <v>0.03</v>
      </c>
    </row>
    <row r="11" spans="1:10" x14ac:dyDescent="0.25">
      <c r="A11" s="7">
        <v>150</v>
      </c>
      <c r="B11" s="8">
        <v>0.18</v>
      </c>
      <c r="C11" s="8">
        <v>0.15</v>
      </c>
      <c r="D11" s="8">
        <v>0.11</v>
      </c>
      <c r="E11" s="8">
        <v>0.12</v>
      </c>
      <c r="F11" s="8">
        <v>0.09</v>
      </c>
      <c r="G11" s="8">
        <v>0.08</v>
      </c>
      <c r="H11" s="8">
        <v>0.05</v>
      </c>
      <c r="I11" s="8">
        <v>0.04</v>
      </c>
      <c r="J11" s="8">
        <v>0.03</v>
      </c>
    </row>
    <row r="12" spans="1:10" x14ac:dyDescent="0.25">
      <c r="A12" s="7">
        <v>200</v>
      </c>
      <c r="B12" s="8">
        <v>0.16</v>
      </c>
      <c r="C12" s="8">
        <v>0.13</v>
      </c>
      <c r="D12" s="8">
        <v>0.1</v>
      </c>
      <c r="E12" s="8">
        <v>0.1</v>
      </c>
      <c r="F12" s="8">
        <v>0.08</v>
      </c>
      <c r="G12" s="8">
        <v>7.0000000000000007E-2</v>
      </c>
      <c r="H12" s="8">
        <v>0.04</v>
      </c>
      <c r="I12" s="8">
        <v>0.03</v>
      </c>
      <c r="J12" s="8">
        <v>0.03</v>
      </c>
    </row>
    <row r="13" spans="1:10" x14ac:dyDescent="0.25">
      <c r="A13" s="7">
        <v>250</v>
      </c>
      <c r="B13" s="8">
        <v>0.13</v>
      </c>
      <c r="C13" s="8">
        <v>0.1</v>
      </c>
      <c r="D13" s="8">
        <v>0.09</v>
      </c>
      <c r="E13" s="8">
        <v>0.09</v>
      </c>
      <c r="F13" s="8">
        <v>7.0000000000000007E-2</v>
      </c>
      <c r="G13" s="8">
        <v>0.06</v>
      </c>
      <c r="H13" s="8">
        <v>0.03</v>
      </c>
      <c r="I13" s="8">
        <v>0.03</v>
      </c>
      <c r="J13" s="8">
        <v>0.02</v>
      </c>
    </row>
    <row r="14" spans="1:10" x14ac:dyDescent="0.25">
      <c r="A14" s="7">
        <v>300</v>
      </c>
      <c r="B14" s="8">
        <v>0.11</v>
      </c>
      <c r="C14" s="8">
        <v>0.09</v>
      </c>
      <c r="D14" s="8">
        <v>0.08</v>
      </c>
      <c r="E14" s="8">
        <v>0.08</v>
      </c>
      <c r="F14" s="8">
        <v>7.0000000000000007E-2</v>
      </c>
      <c r="G14" s="8">
        <v>0.06</v>
      </c>
      <c r="H14" s="8">
        <v>0.03</v>
      </c>
      <c r="I14" s="8">
        <v>0.02</v>
      </c>
      <c r="J14" s="8">
        <v>0.02</v>
      </c>
    </row>
    <row r="15" spans="1:10" x14ac:dyDescent="0.25">
      <c r="A15" s="7">
        <v>350</v>
      </c>
      <c r="B15" s="8">
        <v>0.1</v>
      </c>
      <c r="C15" s="8">
        <v>0.08</v>
      </c>
      <c r="D15" s="8">
        <v>7.0000000000000007E-2</v>
      </c>
      <c r="E15" s="8">
        <v>7.0000000000000007E-2</v>
      </c>
      <c r="F15" s="8">
        <v>0.06</v>
      </c>
      <c r="G15" s="8">
        <v>0.05</v>
      </c>
      <c r="H15" s="8">
        <v>0.03</v>
      </c>
      <c r="I15" s="8">
        <v>0.02</v>
      </c>
      <c r="J15" s="8">
        <v>0.02</v>
      </c>
    </row>
    <row r="16" spans="1:10" x14ac:dyDescent="0.25">
      <c r="A16" s="7">
        <v>400</v>
      </c>
      <c r="B16" s="8">
        <v>0.09</v>
      </c>
      <c r="C16" s="8">
        <v>7.0000000000000007E-2</v>
      </c>
      <c r="D16" s="8">
        <v>0.06</v>
      </c>
      <c r="E16" s="8">
        <v>0.06</v>
      </c>
      <c r="F16" s="8">
        <v>0.05</v>
      </c>
      <c r="G16" s="8">
        <v>0.04</v>
      </c>
      <c r="H16" s="8">
        <v>0.02</v>
      </c>
      <c r="I16" s="8">
        <v>0.02</v>
      </c>
      <c r="J16" s="8">
        <v>0.02</v>
      </c>
    </row>
    <row r="17" spans="1:10" x14ac:dyDescent="0.25">
      <c r="A17" s="7">
        <v>500</v>
      </c>
      <c r="B17" s="8">
        <v>7.4999999999999997E-2</v>
      </c>
      <c r="C17" s="8">
        <v>6.5000000000000002E-2</v>
      </c>
      <c r="D17" s="8">
        <v>0.06</v>
      </c>
      <c r="E17" s="8">
        <v>0.05</v>
      </c>
      <c r="F17" s="8">
        <v>4.4999999999999998E-2</v>
      </c>
      <c r="G17" s="8">
        <v>0.04</v>
      </c>
      <c r="H17" s="8">
        <v>0.02</v>
      </c>
      <c r="I17" s="8">
        <v>0.02</v>
      </c>
      <c r="J17" s="8">
        <v>1.6E-2</v>
      </c>
    </row>
    <row r="18" spans="1:10" x14ac:dyDescent="0.25">
      <c r="A18" s="7">
        <v>600</v>
      </c>
      <c r="B18" s="8">
        <v>6.2E-2</v>
      </c>
      <c r="C18" s="8">
        <v>5.5E-2</v>
      </c>
      <c r="D18" s="8">
        <v>0.05</v>
      </c>
      <c r="E18" s="8">
        <v>4.2999999999999997E-2</v>
      </c>
      <c r="F18" s="8">
        <v>3.7999999999999999E-2</v>
      </c>
      <c r="G18" s="8">
        <v>3.5000000000000003E-2</v>
      </c>
      <c r="H18" s="8">
        <v>1.7000000000000001E-2</v>
      </c>
      <c r="I18" s="8">
        <v>1.4999999999999999E-2</v>
      </c>
      <c r="J18" s="8">
        <v>1.4E-2</v>
      </c>
    </row>
    <row r="19" spans="1:10" x14ac:dyDescent="0.25">
      <c r="A19" s="7">
        <v>700</v>
      </c>
      <c r="B19" s="8">
        <v>5.5E-2</v>
      </c>
      <c r="C19" s="8">
        <v>5.0999999999999997E-2</v>
      </c>
      <c r="D19" s="8">
        <v>4.4999999999999998E-2</v>
      </c>
      <c r="E19" s="8">
        <v>3.7999999999999999E-2</v>
      </c>
      <c r="F19" s="8">
        <v>3.5000000000000003E-2</v>
      </c>
      <c r="G19" s="8">
        <v>3.2000000000000001E-2</v>
      </c>
      <c r="H19" s="8">
        <v>1.4999999999999999E-2</v>
      </c>
      <c r="I19" s="8">
        <v>1.2999999999999999E-2</v>
      </c>
      <c r="J19" s="8">
        <v>1.2E-2</v>
      </c>
    </row>
    <row r="20" spans="1:10" x14ac:dyDescent="0.25">
      <c r="A20" s="7">
        <v>800</v>
      </c>
      <c r="B20" s="8">
        <v>4.8000000000000001E-2</v>
      </c>
      <c r="C20" s="8">
        <v>4.4999999999999998E-2</v>
      </c>
      <c r="D20" s="8">
        <v>4.2000000000000003E-2</v>
      </c>
      <c r="E20" s="8">
        <v>3.4000000000000002E-2</v>
      </c>
      <c r="F20" s="8">
        <v>3.1E-2</v>
      </c>
      <c r="G20" s="8">
        <v>2.9000000000000001E-2</v>
      </c>
      <c r="H20" s="8">
        <v>1.2999999999999999E-2</v>
      </c>
      <c r="I20" s="8">
        <v>1.2E-2</v>
      </c>
      <c r="J20" s="8">
        <v>1.0999999999999999E-2</v>
      </c>
    </row>
    <row r="21" spans="1:10" x14ac:dyDescent="0.25">
      <c r="A21" s="7">
        <v>900</v>
      </c>
      <c r="B21" s="8">
        <v>4.3999999999999997E-2</v>
      </c>
      <c r="C21" s="8">
        <v>4.1000000000000002E-2</v>
      </c>
      <c r="D21" s="8">
        <v>3.7999999999999999E-2</v>
      </c>
      <c r="E21" s="8">
        <v>3.1E-2</v>
      </c>
      <c r="F21" s="8">
        <v>2.8000000000000001E-2</v>
      </c>
      <c r="G21" s="8">
        <v>2.5999999999999999E-2</v>
      </c>
      <c r="H21" s="8">
        <v>1.2E-2</v>
      </c>
      <c r="I21" s="8">
        <v>1.0999999999999999E-2</v>
      </c>
      <c r="J21" s="8">
        <v>0.01</v>
      </c>
    </row>
    <row r="22" spans="1:10" x14ac:dyDescent="0.25">
      <c r="A22" s="7">
        <v>1000</v>
      </c>
      <c r="B22" s="8">
        <v>0.04</v>
      </c>
      <c r="C22" s="8">
        <v>3.6999999999999998E-2</v>
      </c>
      <c r="D22" s="8">
        <v>3.4000000000000002E-2</v>
      </c>
      <c r="E22" s="8">
        <v>2.8000000000000001E-2</v>
      </c>
      <c r="F22" s="8">
        <v>2.5999999999999999E-2</v>
      </c>
      <c r="G22" s="8">
        <v>2.4E-2</v>
      </c>
      <c r="H22" s="8">
        <v>1.0999999999999999E-2</v>
      </c>
      <c r="I22" s="8">
        <v>0.01</v>
      </c>
      <c r="J22" s="8">
        <v>8.9999999999999993E-3</v>
      </c>
    </row>
    <row r="23" spans="1:10" ht="15.75" thickBot="1" x14ac:dyDescent="0.3">
      <c r="A23" s="5">
        <v>2000</v>
      </c>
      <c r="B23" s="4">
        <v>2.1999999999999999E-2</v>
      </c>
      <c r="C23" s="4">
        <v>0.02</v>
      </c>
      <c r="D23" s="4">
        <v>1.7000000000000001E-2</v>
      </c>
      <c r="E23" s="4">
        <v>1.4999999999999999E-2</v>
      </c>
      <c r="F23" s="4">
        <v>1.4E-2</v>
      </c>
      <c r="G23" s="4">
        <v>1.2999999999999999E-2</v>
      </c>
      <c r="H23" s="4">
        <v>6.0000000000000001E-3</v>
      </c>
      <c r="I23" s="4">
        <v>6.0000000000000001E-3</v>
      </c>
      <c r="J23" s="4">
        <v>5.0000000000000001E-3</v>
      </c>
    </row>
  </sheetData>
  <mergeCells count="6">
    <mergeCell ref="E3:G3"/>
    <mergeCell ref="B4:J4"/>
    <mergeCell ref="A2:A5"/>
    <mergeCell ref="B2:G2"/>
    <mergeCell ref="H2:J3"/>
    <mergeCell ref="B3:D3"/>
  </mergeCells>
  <phoneticPr fontId="1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27"/>
  <sheetViews>
    <sheetView workbookViewId="0">
      <selection activeCell="D6" sqref="D6"/>
    </sheetView>
  </sheetViews>
  <sheetFormatPr defaultRowHeight="15" x14ac:dyDescent="0.25"/>
  <cols>
    <col min="1" max="1" width="18" customWidth="1"/>
  </cols>
  <sheetData>
    <row r="1" spans="1:14" ht="16.5" thickBot="1" x14ac:dyDescent="0.3">
      <c r="A1" s="6" t="s">
        <v>3</v>
      </c>
    </row>
    <row r="2" spans="1:14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8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5">
        <v>15</v>
      </c>
      <c r="B5" s="4">
        <v>4</v>
      </c>
      <c r="C5" s="4">
        <v>9</v>
      </c>
      <c r="D5" s="4">
        <v>17</v>
      </c>
      <c r="E5" s="4">
        <v>25</v>
      </c>
      <c r="F5" s="4">
        <v>35</v>
      </c>
      <c r="G5" s="4">
        <v>45</v>
      </c>
      <c r="H5" s="4">
        <v>56</v>
      </c>
      <c r="I5" s="4">
        <v>68</v>
      </c>
      <c r="J5" s="4">
        <v>81</v>
      </c>
      <c r="K5" s="4">
        <v>94</v>
      </c>
      <c r="L5" s="4">
        <v>109</v>
      </c>
      <c r="M5" s="4">
        <v>124</v>
      </c>
      <c r="N5" s="4">
        <v>140</v>
      </c>
    </row>
    <row r="6" spans="1:14" ht="15.75" thickBot="1" x14ac:dyDescent="0.3">
      <c r="A6" s="5">
        <v>20</v>
      </c>
      <c r="B6" s="4">
        <v>4</v>
      </c>
      <c r="C6" s="4">
        <v>10</v>
      </c>
      <c r="D6" s="4">
        <v>19</v>
      </c>
      <c r="E6" s="4">
        <v>28</v>
      </c>
      <c r="F6" s="4">
        <v>39</v>
      </c>
      <c r="G6" s="4">
        <v>50</v>
      </c>
      <c r="H6" s="4">
        <v>62</v>
      </c>
      <c r="I6" s="4">
        <v>75</v>
      </c>
      <c r="J6" s="4">
        <v>89</v>
      </c>
      <c r="K6" s="4">
        <v>103</v>
      </c>
      <c r="L6" s="4">
        <v>119</v>
      </c>
      <c r="M6" s="4">
        <v>135</v>
      </c>
      <c r="N6" s="4">
        <v>152</v>
      </c>
    </row>
    <row r="7" spans="1:14" ht="15.75" thickBot="1" x14ac:dyDescent="0.3">
      <c r="A7" s="5">
        <v>25</v>
      </c>
      <c r="B7" s="4">
        <v>5</v>
      </c>
      <c r="C7" s="4">
        <v>11</v>
      </c>
      <c r="D7" s="4">
        <v>20</v>
      </c>
      <c r="E7" s="4">
        <v>31</v>
      </c>
      <c r="F7" s="4">
        <v>42</v>
      </c>
      <c r="G7" s="4">
        <v>54</v>
      </c>
      <c r="H7" s="4">
        <v>67</v>
      </c>
      <c r="I7" s="4">
        <v>81</v>
      </c>
      <c r="J7" s="4">
        <v>95</v>
      </c>
      <c r="K7" s="4">
        <v>111</v>
      </c>
      <c r="L7" s="4">
        <v>128</v>
      </c>
      <c r="M7" s="4">
        <v>145</v>
      </c>
      <c r="N7" s="4">
        <v>163</v>
      </c>
    </row>
    <row r="8" spans="1:14" ht="15.75" thickBot="1" x14ac:dyDescent="0.3">
      <c r="A8" s="5">
        <v>40</v>
      </c>
      <c r="B8" s="4">
        <v>5</v>
      </c>
      <c r="C8" s="4">
        <v>12</v>
      </c>
      <c r="D8" s="4">
        <v>23</v>
      </c>
      <c r="E8" s="4">
        <v>35</v>
      </c>
      <c r="F8" s="4">
        <v>47</v>
      </c>
      <c r="G8" s="4">
        <v>60</v>
      </c>
      <c r="H8" s="4">
        <v>75</v>
      </c>
      <c r="I8" s="4">
        <v>90</v>
      </c>
      <c r="J8" s="4">
        <v>106</v>
      </c>
      <c r="K8" s="4">
        <v>123</v>
      </c>
      <c r="L8" s="4">
        <v>142</v>
      </c>
      <c r="M8" s="4">
        <v>161</v>
      </c>
      <c r="N8" s="4">
        <v>181</v>
      </c>
    </row>
    <row r="9" spans="1:14" ht="15.75" thickBot="1" x14ac:dyDescent="0.3">
      <c r="A9" s="5">
        <v>50</v>
      </c>
      <c r="B9" s="4">
        <v>6</v>
      </c>
      <c r="C9" s="4">
        <v>14</v>
      </c>
      <c r="D9" s="4">
        <v>26</v>
      </c>
      <c r="E9" s="4">
        <v>38</v>
      </c>
      <c r="F9" s="4">
        <v>51</v>
      </c>
      <c r="G9" s="4">
        <v>66</v>
      </c>
      <c r="H9" s="4">
        <v>81</v>
      </c>
      <c r="I9" s="4">
        <v>98</v>
      </c>
      <c r="J9" s="4">
        <v>115</v>
      </c>
      <c r="K9" s="4">
        <v>133</v>
      </c>
      <c r="L9" s="4">
        <v>153</v>
      </c>
      <c r="M9" s="4">
        <v>173</v>
      </c>
      <c r="N9" s="4">
        <v>195</v>
      </c>
    </row>
    <row r="10" spans="1:14" ht="15.75" thickBot="1" x14ac:dyDescent="0.3">
      <c r="A10" s="5">
        <v>65</v>
      </c>
      <c r="B10" s="4">
        <v>7</v>
      </c>
      <c r="C10" s="4">
        <v>16</v>
      </c>
      <c r="D10" s="4">
        <v>29</v>
      </c>
      <c r="E10" s="4">
        <v>43</v>
      </c>
      <c r="F10" s="4">
        <v>58</v>
      </c>
      <c r="G10" s="4">
        <v>74</v>
      </c>
      <c r="H10" s="4">
        <v>90</v>
      </c>
      <c r="I10" s="4">
        <v>108</v>
      </c>
      <c r="J10" s="4">
        <v>127</v>
      </c>
      <c r="K10" s="4">
        <v>147</v>
      </c>
      <c r="L10" s="4">
        <v>169</v>
      </c>
      <c r="M10" s="4">
        <v>191</v>
      </c>
      <c r="N10" s="4">
        <v>214</v>
      </c>
    </row>
    <row r="11" spans="1:14" ht="15.75" thickBot="1" x14ac:dyDescent="0.3">
      <c r="A11" s="5">
        <v>80</v>
      </c>
      <c r="B11" s="4">
        <v>8</v>
      </c>
      <c r="C11" s="4">
        <v>17</v>
      </c>
      <c r="D11" s="4">
        <v>31</v>
      </c>
      <c r="E11" s="4">
        <v>46</v>
      </c>
      <c r="F11" s="4">
        <v>62</v>
      </c>
      <c r="G11" s="4">
        <v>78</v>
      </c>
      <c r="H11" s="4">
        <v>96</v>
      </c>
      <c r="I11" s="4">
        <v>115</v>
      </c>
      <c r="J11" s="4">
        <v>135</v>
      </c>
      <c r="K11" s="4">
        <v>156</v>
      </c>
      <c r="L11" s="4">
        <v>179</v>
      </c>
      <c r="M11" s="4">
        <v>202</v>
      </c>
      <c r="N11" s="4">
        <v>226</v>
      </c>
    </row>
    <row r="12" spans="1:14" ht="15.75" thickBot="1" x14ac:dyDescent="0.3">
      <c r="A12" s="5">
        <v>100</v>
      </c>
      <c r="B12" s="4">
        <v>9</v>
      </c>
      <c r="C12" s="4">
        <v>19</v>
      </c>
      <c r="D12" s="4">
        <v>34</v>
      </c>
      <c r="E12" s="4">
        <v>50</v>
      </c>
      <c r="F12" s="4">
        <v>67</v>
      </c>
      <c r="G12" s="4">
        <v>85</v>
      </c>
      <c r="H12" s="4">
        <v>104</v>
      </c>
      <c r="I12" s="4">
        <v>124</v>
      </c>
      <c r="J12" s="4">
        <v>146</v>
      </c>
      <c r="K12" s="4">
        <v>168</v>
      </c>
      <c r="L12" s="4">
        <v>192</v>
      </c>
      <c r="M12" s="4">
        <v>217</v>
      </c>
      <c r="N12" s="4">
        <v>243</v>
      </c>
    </row>
    <row r="13" spans="1:14" ht="15.75" thickBot="1" x14ac:dyDescent="0.3">
      <c r="A13" s="5">
        <v>125</v>
      </c>
      <c r="B13" s="4">
        <v>10</v>
      </c>
      <c r="C13" s="4">
        <v>21</v>
      </c>
      <c r="D13" s="4">
        <v>38</v>
      </c>
      <c r="E13" s="4">
        <v>55</v>
      </c>
      <c r="F13" s="4">
        <v>74</v>
      </c>
      <c r="G13" s="4">
        <v>93</v>
      </c>
      <c r="H13" s="4">
        <v>114</v>
      </c>
      <c r="I13" s="4">
        <v>136</v>
      </c>
      <c r="J13" s="4">
        <v>159</v>
      </c>
      <c r="K13" s="4">
        <v>183</v>
      </c>
      <c r="L13" s="4">
        <v>208</v>
      </c>
      <c r="M13" s="4">
        <v>235</v>
      </c>
      <c r="N13" s="4">
        <v>263</v>
      </c>
    </row>
    <row r="14" spans="1:14" ht="15.75" thickBot="1" x14ac:dyDescent="0.3">
      <c r="A14" s="5">
        <v>150</v>
      </c>
      <c r="B14" s="4">
        <v>11</v>
      </c>
      <c r="C14" s="4">
        <v>23</v>
      </c>
      <c r="D14" s="4">
        <v>42</v>
      </c>
      <c r="E14" s="4">
        <v>61</v>
      </c>
      <c r="F14" s="4">
        <v>80</v>
      </c>
      <c r="G14" s="4">
        <v>101</v>
      </c>
      <c r="H14" s="4">
        <v>132</v>
      </c>
      <c r="I14" s="4">
        <v>156</v>
      </c>
      <c r="J14" s="4">
        <v>182</v>
      </c>
      <c r="K14" s="4">
        <v>209</v>
      </c>
      <c r="L14" s="4">
        <v>238</v>
      </c>
      <c r="M14" s="4">
        <v>267</v>
      </c>
      <c r="N14" s="4">
        <v>298</v>
      </c>
    </row>
    <row r="15" spans="1:14" ht="15.75" thickBot="1" x14ac:dyDescent="0.3">
      <c r="A15" s="5">
        <v>200</v>
      </c>
      <c r="B15" s="4">
        <v>14</v>
      </c>
      <c r="C15" s="4">
        <v>28</v>
      </c>
      <c r="D15" s="4">
        <v>50</v>
      </c>
      <c r="E15" s="4">
        <v>72</v>
      </c>
      <c r="F15" s="4">
        <v>95</v>
      </c>
      <c r="G15" s="4">
        <v>119</v>
      </c>
      <c r="H15" s="4">
        <v>154</v>
      </c>
      <c r="I15" s="4">
        <v>182</v>
      </c>
      <c r="J15" s="4">
        <v>212</v>
      </c>
      <c r="K15" s="4">
        <v>242</v>
      </c>
      <c r="L15" s="4">
        <v>274</v>
      </c>
      <c r="M15" s="4">
        <v>308</v>
      </c>
      <c r="N15" s="4">
        <v>343</v>
      </c>
    </row>
    <row r="16" spans="1:14" ht="15.75" thickBot="1" x14ac:dyDescent="0.3">
      <c r="A16" s="5">
        <v>250</v>
      </c>
      <c r="B16" s="4">
        <v>16</v>
      </c>
      <c r="C16" s="4">
        <v>33</v>
      </c>
      <c r="D16" s="4">
        <v>57</v>
      </c>
      <c r="E16" s="4">
        <v>82</v>
      </c>
      <c r="F16" s="4">
        <v>107</v>
      </c>
      <c r="G16" s="4">
        <v>133</v>
      </c>
      <c r="H16" s="4">
        <v>173</v>
      </c>
      <c r="I16" s="4">
        <v>204</v>
      </c>
      <c r="J16" s="4">
        <v>236</v>
      </c>
      <c r="K16" s="4">
        <v>270</v>
      </c>
      <c r="L16" s="4">
        <v>305</v>
      </c>
      <c r="M16" s="4">
        <v>342</v>
      </c>
      <c r="N16" s="4">
        <v>380</v>
      </c>
    </row>
    <row r="17" spans="1:14" ht="15.75" thickBot="1" x14ac:dyDescent="0.3">
      <c r="A17" s="5">
        <v>300</v>
      </c>
      <c r="B17" s="4">
        <v>18</v>
      </c>
      <c r="C17" s="4">
        <v>37</v>
      </c>
      <c r="D17" s="4">
        <v>64</v>
      </c>
      <c r="E17" s="4">
        <v>91</v>
      </c>
      <c r="F17" s="4">
        <v>118</v>
      </c>
      <c r="G17" s="4">
        <v>147</v>
      </c>
      <c r="H17" s="4">
        <v>191</v>
      </c>
      <c r="I17" s="4">
        <v>224</v>
      </c>
      <c r="J17" s="4">
        <v>259</v>
      </c>
      <c r="K17" s="4">
        <v>296</v>
      </c>
      <c r="L17" s="4">
        <v>333</v>
      </c>
      <c r="M17" s="4">
        <v>373</v>
      </c>
      <c r="N17" s="4">
        <v>414</v>
      </c>
    </row>
    <row r="18" spans="1:14" ht="15.75" thickBot="1" x14ac:dyDescent="0.3">
      <c r="A18" s="5">
        <v>350</v>
      </c>
      <c r="B18" s="4">
        <v>22</v>
      </c>
      <c r="C18" s="4">
        <v>45</v>
      </c>
      <c r="D18" s="4">
        <v>77</v>
      </c>
      <c r="E18" s="4">
        <v>108</v>
      </c>
      <c r="F18" s="4">
        <v>140</v>
      </c>
      <c r="G18" s="4">
        <v>173</v>
      </c>
      <c r="H18" s="4">
        <v>208</v>
      </c>
      <c r="I18" s="4">
        <v>244</v>
      </c>
      <c r="J18" s="4">
        <v>281</v>
      </c>
      <c r="K18" s="4">
        <v>320</v>
      </c>
      <c r="L18" s="4">
        <v>361</v>
      </c>
      <c r="M18" s="4">
        <v>403</v>
      </c>
      <c r="N18" s="4">
        <v>446</v>
      </c>
    </row>
    <row r="19" spans="1:14" ht="15.75" thickBot="1" x14ac:dyDescent="0.3">
      <c r="A19" s="5">
        <v>400</v>
      </c>
      <c r="B19" s="4">
        <v>25</v>
      </c>
      <c r="C19" s="4">
        <v>49</v>
      </c>
      <c r="D19" s="4">
        <v>84</v>
      </c>
      <c r="E19" s="4">
        <v>117</v>
      </c>
      <c r="F19" s="4">
        <v>152</v>
      </c>
      <c r="G19" s="4">
        <v>187</v>
      </c>
      <c r="H19" s="4">
        <v>223</v>
      </c>
      <c r="I19" s="4">
        <v>262</v>
      </c>
      <c r="J19" s="4">
        <v>301</v>
      </c>
      <c r="K19" s="4">
        <v>343</v>
      </c>
      <c r="L19" s="4">
        <v>385</v>
      </c>
      <c r="M19" s="4">
        <v>430</v>
      </c>
      <c r="N19" s="4">
        <v>476</v>
      </c>
    </row>
    <row r="20" spans="1:14" ht="15.75" thickBot="1" x14ac:dyDescent="0.3">
      <c r="A20" s="5">
        <v>450</v>
      </c>
      <c r="B20" s="4">
        <v>27</v>
      </c>
      <c r="C20" s="4">
        <v>54</v>
      </c>
      <c r="D20" s="4">
        <v>91</v>
      </c>
      <c r="E20" s="4">
        <v>127</v>
      </c>
      <c r="F20" s="4">
        <v>163</v>
      </c>
      <c r="G20" s="4">
        <v>200</v>
      </c>
      <c r="H20" s="4">
        <v>239</v>
      </c>
      <c r="I20" s="4">
        <v>280</v>
      </c>
      <c r="J20" s="4">
        <v>322</v>
      </c>
      <c r="K20" s="4">
        <v>365</v>
      </c>
      <c r="L20" s="4">
        <v>410</v>
      </c>
      <c r="M20" s="4">
        <v>457</v>
      </c>
      <c r="N20" s="4">
        <v>505</v>
      </c>
    </row>
    <row r="21" spans="1:14" ht="15.75" thickBot="1" x14ac:dyDescent="0.3">
      <c r="A21" s="5">
        <v>500</v>
      </c>
      <c r="B21" s="4">
        <v>30</v>
      </c>
      <c r="C21" s="4">
        <v>58</v>
      </c>
      <c r="D21" s="4">
        <v>98</v>
      </c>
      <c r="E21" s="4">
        <v>136</v>
      </c>
      <c r="F21" s="4">
        <v>175</v>
      </c>
      <c r="G21" s="4">
        <v>215</v>
      </c>
      <c r="H21" s="4">
        <v>256</v>
      </c>
      <c r="I21" s="4">
        <v>299</v>
      </c>
      <c r="J21" s="4">
        <v>343</v>
      </c>
      <c r="K21" s="4">
        <v>389</v>
      </c>
      <c r="L21" s="4">
        <v>436</v>
      </c>
      <c r="M21" s="4">
        <v>486</v>
      </c>
      <c r="N21" s="4">
        <v>537</v>
      </c>
    </row>
    <row r="22" spans="1:14" ht="15.75" thickBot="1" x14ac:dyDescent="0.3">
      <c r="A22" s="5">
        <v>600</v>
      </c>
      <c r="B22" s="4">
        <v>34</v>
      </c>
      <c r="C22" s="4">
        <v>67</v>
      </c>
      <c r="D22" s="4">
        <v>112</v>
      </c>
      <c r="E22" s="4">
        <v>154</v>
      </c>
      <c r="F22" s="4">
        <v>197</v>
      </c>
      <c r="G22" s="4">
        <v>241</v>
      </c>
      <c r="H22" s="4">
        <v>286</v>
      </c>
      <c r="I22" s="4">
        <v>333</v>
      </c>
      <c r="J22" s="4">
        <v>382</v>
      </c>
      <c r="K22" s="4">
        <v>432</v>
      </c>
      <c r="L22" s="4">
        <v>484</v>
      </c>
      <c r="M22" s="4">
        <v>537</v>
      </c>
      <c r="N22" s="4">
        <v>593</v>
      </c>
    </row>
    <row r="23" spans="1:14" ht="15.75" thickBot="1" x14ac:dyDescent="0.3">
      <c r="A23" s="5">
        <v>700</v>
      </c>
      <c r="B23" s="4">
        <v>38</v>
      </c>
      <c r="C23" s="4">
        <v>75</v>
      </c>
      <c r="D23" s="4">
        <v>124</v>
      </c>
      <c r="E23" s="4">
        <v>170</v>
      </c>
      <c r="F23" s="4">
        <v>217</v>
      </c>
      <c r="G23" s="4">
        <v>264</v>
      </c>
      <c r="H23" s="4">
        <v>313</v>
      </c>
      <c r="I23" s="4">
        <v>364</v>
      </c>
      <c r="J23" s="4">
        <v>416</v>
      </c>
      <c r="K23" s="4">
        <v>470</v>
      </c>
      <c r="L23" s="4">
        <v>526</v>
      </c>
      <c r="M23" s="4">
        <v>583</v>
      </c>
      <c r="N23" s="4">
        <v>642</v>
      </c>
    </row>
    <row r="24" spans="1:14" ht="15.75" thickBot="1" x14ac:dyDescent="0.3">
      <c r="A24" s="5">
        <v>800</v>
      </c>
      <c r="B24" s="4">
        <v>43</v>
      </c>
      <c r="C24" s="4">
        <v>83</v>
      </c>
      <c r="D24" s="4">
        <v>137</v>
      </c>
      <c r="E24" s="4">
        <v>188</v>
      </c>
      <c r="F24" s="4">
        <v>238</v>
      </c>
      <c r="G24" s="4">
        <v>290</v>
      </c>
      <c r="H24" s="4">
        <v>343</v>
      </c>
      <c r="I24" s="4">
        <v>397</v>
      </c>
      <c r="J24" s="4">
        <v>453</v>
      </c>
      <c r="K24" s="4">
        <v>511</v>
      </c>
      <c r="L24" s="4">
        <v>571</v>
      </c>
      <c r="M24" s="4">
        <v>633</v>
      </c>
      <c r="N24" s="4">
        <v>696</v>
      </c>
    </row>
    <row r="25" spans="1:14" ht="15.75" thickBot="1" x14ac:dyDescent="0.3">
      <c r="A25" s="5">
        <v>900</v>
      </c>
      <c r="B25" s="4">
        <v>47</v>
      </c>
      <c r="C25" s="4">
        <v>91</v>
      </c>
      <c r="D25" s="4">
        <v>150</v>
      </c>
      <c r="E25" s="4">
        <v>205</v>
      </c>
      <c r="F25" s="4">
        <v>259</v>
      </c>
      <c r="G25" s="4">
        <v>315</v>
      </c>
      <c r="H25" s="4">
        <v>372</v>
      </c>
      <c r="I25" s="4">
        <v>430</v>
      </c>
      <c r="J25" s="4">
        <v>490</v>
      </c>
      <c r="K25" s="4">
        <v>552</v>
      </c>
      <c r="L25" s="4">
        <v>616</v>
      </c>
      <c r="M25" s="4">
        <v>681</v>
      </c>
      <c r="N25" s="4">
        <v>749</v>
      </c>
    </row>
    <row r="26" spans="1:14" ht="15.75" thickBot="1" x14ac:dyDescent="0.3">
      <c r="A26" s="5">
        <v>1000</v>
      </c>
      <c r="B26" s="4">
        <v>52</v>
      </c>
      <c r="C26" s="4">
        <v>100</v>
      </c>
      <c r="D26" s="4">
        <v>163</v>
      </c>
      <c r="E26" s="4">
        <v>222</v>
      </c>
      <c r="F26" s="4">
        <v>281</v>
      </c>
      <c r="G26" s="4">
        <v>340</v>
      </c>
      <c r="H26" s="4">
        <v>400</v>
      </c>
      <c r="I26" s="4">
        <v>463</v>
      </c>
      <c r="J26" s="4">
        <v>527</v>
      </c>
      <c r="K26" s="4">
        <v>592</v>
      </c>
      <c r="L26" s="4">
        <v>660</v>
      </c>
      <c r="M26" s="4">
        <v>729</v>
      </c>
      <c r="N26" s="4">
        <v>801</v>
      </c>
    </row>
    <row r="27" spans="1:14" ht="15.75" thickBot="1" x14ac:dyDescent="0.3">
      <c r="A27" s="5">
        <v>1400</v>
      </c>
      <c r="B27" s="4">
        <v>70</v>
      </c>
      <c r="C27" s="4">
        <v>133</v>
      </c>
      <c r="D27" s="4">
        <v>215</v>
      </c>
      <c r="E27" s="4">
        <v>291</v>
      </c>
      <c r="F27" s="4">
        <v>364</v>
      </c>
      <c r="G27" s="4">
        <v>439</v>
      </c>
      <c r="H27" s="4">
        <v>514</v>
      </c>
      <c r="I27" s="4">
        <v>591</v>
      </c>
      <c r="J27" s="4">
        <v>670</v>
      </c>
      <c r="K27" s="4">
        <v>750</v>
      </c>
      <c r="L27" s="4">
        <v>833</v>
      </c>
      <c r="M27" s="4">
        <v>918</v>
      </c>
      <c r="N27" s="4">
        <v>1098</v>
      </c>
    </row>
  </sheetData>
  <mergeCells count="3">
    <mergeCell ref="A2:A4"/>
    <mergeCell ref="B2:N2"/>
    <mergeCell ref="B4:N4"/>
  </mergeCells>
  <phoneticPr fontId="1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N27"/>
  <sheetViews>
    <sheetView workbookViewId="0">
      <selection activeCell="D6" sqref="D6"/>
    </sheetView>
  </sheetViews>
  <sheetFormatPr defaultRowHeight="15" x14ac:dyDescent="0.25"/>
  <sheetData>
    <row r="1" spans="1:14" ht="16.5" thickBot="1" x14ac:dyDescent="0.3">
      <c r="A1" s="6" t="s">
        <v>5</v>
      </c>
    </row>
    <row r="2" spans="1:14" ht="39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8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30.75" customHeight="1" thickBot="1" x14ac:dyDescent="0.3">
      <c r="A4" s="82"/>
      <c r="B4" s="89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5">
        <v>15</v>
      </c>
      <c r="B5" s="4">
        <v>4</v>
      </c>
      <c r="C5" s="4">
        <v>10</v>
      </c>
      <c r="D5" s="4">
        <v>18</v>
      </c>
      <c r="E5" s="4">
        <v>28</v>
      </c>
      <c r="F5" s="4">
        <v>38</v>
      </c>
      <c r="G5" s="4">
        <v>49</v>
      </c>
      <c r="H5" s="4">
        <v>61</v>
      </c>
      <c r="I5" s="4">
        <v>74</v>
      </c>
      <c r="J5" s="4">
        <v>87</v>
      </c>
      <c r="K5" s="4">
        <v>102</v>
      </c>
      <c r="L5" s="4">
        <v>117</v>
      </c>
      <c r="M5" s="4">
        <v>133</v>
      </c>
      <c r="N5" s="4">
        <v>150</v>
      </c>
    </row>
    <row r="6" spans="1:14" ht="15.75" thickBot="1" x14ac:dyDescent="0.3">
      <c r="A6" s="5">
        <v>20</v>
      </c>
      <c r="B6" s="4">
        <v>5</v>
      </c>
      <c r="C6" s="4">
        <v>11</v>
      </c>
      <c r="D6" s="4">
        <v>21</v>
      </c>
      <c r="E6" s="4">
        <v>31</v>
      </c>
      <c r="F6" s="4">
        <v>42</v>
      </c>
      <c r="G6" s="4">
        <v>54</v>
      </c>
      <c r="H6" s="4">
        <v>67</v>
      </c>
      <c r="I6" s="4">
        <v>81</v>
      </c>
      <c r="J6" s="4">
        <v>96</v>
      </c>
      <c r="K6" s="4">
        <v>112</v>
      </c>
      <c r="L6" s="4">
        <v>128</v>
      </c>
      <c r="M6" s="4">
        <v>146</v>
      </c>
      <c r="N6" s="4">
        <v>164</v>
      </c>
    </row>
    <row r="7" spans="1:14" ht="15.75" thickBot="1" x14ac:dyDescent="0.3">
      <c r="A7" s="5">
        <v>25</v>
      </c>
      <c r="B7" s="4">
        <v>5</v>
      </c>
      <c r="C7" s="4">
        <v>12</v>
      </c>
      <c r="D7" s="4">
        <v>23</v>
      </c>
      <c r="E7" s="4">
        <v>34</v>
      </c>
      <c r="F7" s="4">
        <v>46</v>
      </c>
      <c r="G7" s="4">
        <v>59</v>
      </c>
      <c r="H7" s="4">
        <v>73</v>
      </c>
      <c r="I7" s="4">
        <v>88</v>
      </c>
      <c r="J7" s="4">
        <v>104</v>
      </c>
      <c r="K7" s="4">
        <v>120</v>
      </c>
      <c r="L7" s="4">
        <v>138</v>
      </c>
      <c r="M7" s="4">
        <v>157</v>
      </c>
      <c r="N7" s="4">
        <v>176</v>
      </c>
    </row>
    <row r="8" spans="1:14" ht="15.75" thickBot="1" x14ac:dyDescent="0.3">
      <c r="A8" s="5">
        <v>40</v>
      </c>
      <c r="B8" s="4">
        <v>6</v>
      </c>
      <c r="C8" s="4">
        <v>14</v>
      </c>
      <c r="D8" s="4">
        <v>26</v>
      </c>
      <c r="E8" s="4">
        <v>39</v>
      </c>
      <c r="F8" s="4">
        <v>52</v>
      </c>
      <c r="G8" s="4">
        <v>67</v>
      </c>
      <c r="H8" s="4">
        <v>82</v>
      </c>
      <c r="I8" s="4">
        <v>99</v>
      </c>
      <c r="J8" s="4">
        <v>116</v>
      </c>
      <c r="K8" s="4">
        <v>135</v>
      </c>
      <c r="L8" s="4">
        <v>154</v>
      </c>
      <c r="M8" s="4">
        <v>174</v>
      </c>
      <c r="N8" s="4">
        <v>196</v>
      </c>
    </row>
    <row r="9" spans="1:14" ht="15.75" thickBot="1" x14ac:dyDescent="0.3">
      <c r="A9" s="5">
        <v>50</v>
      </c>
      <c r="B9" s="4">
        <v>7</v>
      </c>
      <c r="C9" s="4">
        <v>16</v>
      </c>
      <c r="D9" s="4">
        <v>29</v>
      </c>
      <c r="E9" s="4">
        <v>43</v>
      </c>
      <c r="F9" s="4">
        <v>57</v>
      </c>
      <c r="G9" s="4">
        <v>73</v>
      </c>
      <c r="H9" s="4">
        <v>90</v>
      </c>
      <c r="I9" s="4">
        <v>107</v>
      </c>
      <c r="J9" s="4">
        <v>126</v>
      </c>
      <c r="K9" s="4">
        <v>146</v>
      </c>
      <c r="L9" s="4">
        <v>167</v>
      </c>
      <c r="M9" s="4">
        <v>189</v>
      </c>
      <c r="N9" s="4">
        <v>212</v>
      </c>
    </row>
    <row r="10" spans="1:14" ht="15.75" thickBot="1" x14ac:dyDescent="0.3">
      <c r="A10" s="5">
        <v>65</v>
      </c>
      <c r="B10" s="4">
        <v>8</v>
      </c>
      <c r="C10" s="4">
        <v>18</v>
      </c>
      <c r="D10" s="4">
        <v>33</v>
      </c>
      <c r="E10" s="4">
        <v>48</v>
      </c>
      <c r="F10" s="4">
        <v>65</v>
      </c>
      <c r="G10" s="4">
        <v>82</v>
      </c>
      <c r="H10" s="4">
        <v>100</v>
      </c>
      <c r="I10" s="4">
        <v>120</v>
      </c>
      <c r="J10" s="4">
        <v>141</v>
      </c>
      <c r="K10" s="4">
        <v>162</v>
      </c>
      <c r="L10" s="4">
        <v>185</v>
      </c>
      <c r="M10" s="4">
        <v>209</v>
      </c>
      <c r="N10" s="4">
        <v>234</v>
      </c>
    </row>
    <row r="11" spans="1:14" ht="15.75" thickBot="1" x14ac:dyDescent="0.3">
      <c r="A11" s="5">
        <v>80</v>
      </c>
      <c r="B11" s="4">
        <v>9</v>
      </c>
      <c r="C11" s="4">
        <v>20</v>
      </c>
      <c r="D11" s="4">
        <v>36</v>
      </c>
      <c r="E11" s="4">
        <v>52</v>
      </c>
      <c r="F11" s="4">
        <v>69</v>
      </c>
      <c r="G11" s="4">
        <v>88</v>
      </c>
      <c r="H11" s="4">
        <v>107</v>
      </c>
      <c r="I11" s="4">
        <v>128</v>
      </c>
      <c r="J11" s="4">
        <v>150</v>
      </c>
      <c r="K11" s="4">
        <v>172</v>
      </c>
      <c r="L11" s="4">
        <v>197</v>
      </c>
      <c r="M11" s="4">
        <v>222</v>
      </c>
      <c r="N11" s="4">
        <v>248</v>
      </c>
    </row>
    <row r="12" spans="1:14" ht="15.75" thickBot="1" x14ac:dyDescent="0.3">
      <c r="A12" s="5">
        <v>100</v>
      </c>
      <c r="B12" s="4">
        <v>10</v>
      </c>
      <c r="C12" s="4">
        <v>22</v>
      </c>
      <c r="D12" s="4">
        <v>39</v>
      </c>
      <c r="E12" s="4">
        <v>57</v>
      </c>
      <c r="F12" s="4">
        <v>76</v>
      </c>
      <c r="G12" s="4">
        <v>96</v>
      </c>
      <c r="H12" s="4">
        <v>116</v>
      </c>
      <c r="I12" s="4">
        <v>139</v>
      </c>
      <c r="J12" s="4">
        <v>162</v>
      </c>
      <c r="K12" s="4">
        <v>187</v>
      </c>
      <c r="L12" s="4">
        <v>212</v>
      </c>
      <c r="M12" s="4">
        <v>239</v>
      </c>
      <c r="N12" s="4">
        <v>267</v>
      </c>
    </row>
    <row r="13" spans="1:14" ht="15.75" thickBot="1" x14ac:dyDescent="0.3">
      <c r="A13" s="5">
        <v>125</v>
      </c>
      <c r="B13" s="4">
        <v>12</v>
      </c>
      <c r="C13" s="4">
        <v>25</v>
      </c>
      <c r="D13" s="4">
        <v>44</v>
      </c>
      <c r="E13" s="4">
        <v>63</v>
      </c>
      <c r="F13" s="4">
        <v>84</v>
      </c>
      <c r="G13" s="4">
        <v>113</v>
      </c>
      <c r="H13" s="4">
        <v>137</v>
      </c>
      <c r="I13" s="4">
        <v>162</v>
      </c>
      <c r="J13" s="4">
        <v>189</v>
      </c>
      <c r="K13" s="4">
        <v>216</v>
      </c>
      <c r="L13" s="4">
        <v>245</v>
      </c>
      <c r="M13" s="4">
        <v>276</v>
      </c>
      <c r="N13" s="4">
        <v>307</v>
      </c>
    </row>
    <row r="14" spans="1:14" ht="15.75" thickBot="1" x14ac:dyDescent="0.3">
      <c r="A14" s="5">
        <v>150</v>
      </c>
      <c r="B14" s="4">
        <v>13</v>
      </c>
      <c r="C14" s="4">
        <v>27</v>
      </c>
      <c r="D14" s="4">
        <v>48</v>
      </c>
      <c r="E14" s="4">
        <v>70</v>
      </c>
      <c r="F14" s="4">
        <v>92</v>
      </c>
      <c r="G14" s="4">
        <v>123</v>
      </c>
      <c r="H14" s="4">
        <v>149</v>
      </c>
      <c r="I14" s="4">
        <v>176</v>
      </c>
      <c r="J14" s="4">
        <v>205</v>
      </c>
      <c r="K14" s="4">
        <v>235</v>
      </c>
      <c r="L14" s="4">
        <v>266</v>
      </c>
      <c r="M14" s="4">
        <v>298</v>
      </c>
      <c r="N14" s="4">
        <v>332</v>
      </c>
    </row>
    <row r="15" spans="1:14" ht="15.75" thickBot="1" x14ac:dyDescent="0.3">
      <c r="A15" s="5">
        <v>200</v>
      </c>
      <c r="B15" s="4">
        <v>16</v>
      </c>
      <c r="C15" s="4">
        <v>34</v>
      </c>
      <c r="D15" s="4">
        <v>59</v>
      </c>
      <c r="E15" s="4">
        <v>83</v>
      </c>
      <c r="F15" s="4">
        <v>109</v>
      </c>
      <c r="G15" s="4">
        <v>146</v>
      </c>
      <c r="H15" s="4">
        <v>176</v>
      </c>
      <c r="I15" s="4">
        <v>207</v>
      </c>
      <c r="J15" s="4">
        <v>240</v>
      </c>
      <c r="K15" s="4">
        <v>274</v>
      </c>
      <c r="L15" s="4">
        <v>310</v>
      </c>
      <c r="M15" s="4">
        <v>347</v>
      </c>
      <c r="N15" s="4">
        <v>385</v>
      </c>
    </row>
    <row r="16" spans="1:14" ht="15.75" thickBot="1" x14ac:dyDescent="0.3">
      <c r="A16" s="5">
        <v>250</v>
      </c>
      <c r="B16" s="4">
        <v>19</v>
      </c>
      <c r="C16" s="4">
        <v>39</v>
      </c>
      <c r="D16" s="4">
        <v>67</v>
      </c>
      <c r="E16" s="4">
        <v>95</v>
      </c>
      <c r="F16" s="4">
        <v>124</v>
      </c>
      <c r="G16" s="4">
        <v>166</v>
      </c>
      <c r="H16" s="4">
        <v>199</v>
      </c>
      <c r="I16" s="4">
        <v>234</v>
      </c>
      <c r="J16" s="4">
        <v>270</v>
      </c>
      <c r="K16" s="4">
        <v>307</v>
      </c>
      <c r="L16" s="4">
        <v>346</v>
      </c>
      <c r="M16" s="4">
        <v>387</v>
      </c>
      <c r="N16" s="4">
        <v>429</v>
      </c>
    </row>
    <row r="17" spans="1:14" ht="15.75" thickBot="1" x14ac:dyDescent="0.3">
      <c r="A17" s="5">
        <v>300</v>
      </c>
      <c r="B17" s="4">
        <v>22</v>
      </c>
      <c r="C17" s="4">
        <v>44</v>
      </c>
      <c r="D17" s="4">
        <v>76</v>
      </c>
      <c r="E17" s="4">
        <v>106</v>
      </c>
      <c r="F17" s="4">
        <v>138</v>
      </c>
      <c r="G17" s="4">
        <v>184</v>
      </c>
      <c r="H17" s="4">
        <v>220</v>
      </c>
      <c r="I17" s="4">
        <v>258</v>
      </c>
      <c r="J17" s="4">
        <v>297</v>
      </c>
      <c r="K17" s="4">
        <v>338</v>
      </c>
      <c r="L17" s="4">
        <v>380</v>
      </c>
      <c r="M17" s="4">
        <v>424</v>
      </c>
      <c r="N17" s="4">
        <v>469</v>
      </c>
    </row>
    <row r="18" spans="1:14" ht="15.75" thickBot="1" x14ac:dyDescent="0.3">
      <c r="A18" s="5">
        <v>350</v>
      </c>
      <c r="B18" s="4">
        <v>27</v>
      </c>
      <c r="C18" s="4">
        <v>54</v>
      </c>
      <c r="D18" s="4">
        <v>92</v>
      </c>
      <c r="E18" s="4">
        <v>128</v>
      </c>
      <c r="F18" s="4">
        <v>164</v>
      </c>
      <c r="G18" s="4">
        <v>202</v>
      </c>
      <c r="H18" s="4">
        <v>241</v>
      </c>
      <c r="I18" s="4">
        <v>282</v>
      </c>
      <c r="J18" s="4">
        <v>324</v>
      </c>
      <c r="K18" s="4">
        <v>368</v>
      </c>
      <c r="L18" s="4">
        <v>413</v>
      </c>
      <c r="M18" s="4">
        <v>460</v>
      </c>
      <c r="N18" s="4">
        <v>508</v>
      </c>
    </row>
    <row r="19" spans="1:14" ht="15.75" thickBot="1" x14ac:dyDescent="0.3">
      <c r="A19" s="5">
        <v>400</v>
      </c>
      <c r="B19" s="4">
        <v>30</v>
      </c>
      <c r="C19" s="4">
        <v>60</v>
      </c>
      <c r="D19" s="4">
        <v>100</v>
      </c>
      <c r="E19" s="4">
        <v>139</v>
      </c>
      <c r="F19" s="4">
        <v>178</v>
      </c>
      <c r="G19" s="4">
        <v>219</v>
      </c>
      <c r="H19" s="4">
        <v>260</v>
      </c>
      <c r="I19" s="4">
        <v>304</v>
      </c>
      <c r="J19" s="4">
        <v>349</v>
      </c>
      <c r="K19" s="4">
        <v>395</v>
      </c>
      <c r="L19" s="4">
        <v>443</v>
      </c>
      <c r="M19" s="4">
        <v>493</v>
      </c>
      <c r="N19" s="4">
        <v>544</v>
      </c>
    </row>
    <row r="20" spans="1:14" ht="15.75" thickBot="1" x14ac:dyDescent="0.3">
      <c r="A20" s="5">
        <v>450</v>
      </c>
      <c r="B20" s="4">
        <v>33</v>
      </c>
      <c r="C20" s="4">
        <v>65</v>
      </c>
      <c r="D20" s="4">
        <v>109</v>
      </c>
      <c r="E20" s="4">
        <v>150</v>
      </c>
      <c r="F20" s="4">
        <v>192</v>
      </c>
      <c r="G20" s="4">
        <v>235</v>
      </c>
      <c r="H20" s="4">
        <v>280</v>
      </c>
      <c r="I20" s="4">
        <v>326</v>
      </c>
      <c r="J20" s="4">
        <v>373</v>
      </c>
      <c r="K20" s="4">
        <v>422</v>
      </c>
      <c r="L20" s="4">
        <v>473</v>
      </c>
      <c r="M20" s="4">
        <v>526</v>
      </c>
      <c r="N20" s="4">
        <v>580</v>
      </c>
    </row>
    <row r="21" spans="1:14" ht="15.75" thickBot="1" x14ac:dyDescent="0.3">
      <c r="A21" s="5">
        <v>500</v>
      </c>
      <c r="B21" s="4">
        <v>36</v>
      </c>
      <c r="C21" s="4">
        <v>71</v>
      </c>
      <c r="D21" s="4">
        <v>118</v>
      </c>
      <c r="E21" s="4">
        <v>162</v>
      </c>
      <c r="F21" s="4">
        <v>207</v>
      </c>
      <c r="G21" s="4">
        <v>253</v>
      </c>
      <c r="H21" s="4">
        <v>300</v>
      </c>
      <c r="I21" s="4">
        <v>349</v>
      </c>
      <c r="J21" s="4">
        <v>399</v>
      </c>
      <c r="K21" s="4">
        <v>451</v>
      </c>
      <c r="L21" s="4">
        <v>505</v>
      </c>
      <c r="M21" s="4">
        <v>561</v>
      </c>
      <c r="N21" s="4">
        <v>618</v>
      </c>
    </row>
    <row r="22" spans="1:14" ht="15.75" thickBot="1" x14ac:dyDescent="0.3">
      <c r="A22" s="5">
        <v>600</v>
      </c>
      <c r="B22" s="4">
        <v>42</v>
      </c>
      <c r="C22" s="4">
        <v>82</v>
      </c>
      <c r="D22" s="4">
        <v>135</v>
      </c>
      <c r="E22" s="4">
        <v>185</v>
      </c>
      <c r="F22" s="4">
        <v>235</v>
      </c>
      <c r="G22" s="4">
        <v>285</v>
      </c>
      <c r="H22" s="4">
        <v>338</v>
      </c>
      <c r="I22" s="4">
        <v>391</v>
      </c>
      <c r="J22" s="4">
        <v>447</v>
      </c>
      <c r="K22" s="4">
        <v>504</v>
      </c>
      <c r="L22" s="4">
        <v>563</v>
      </c>
      <c r="M22" s="4">
        <v>624</v>
      </c>
      <c r="N22" s="4">
        <v>686</v>
      </c>
    </row>
    <row r="23" spans="1:14" ht="15.75" thickBot="1" x14ac:dyDescent="0.3">
      <c r="A23" s="5">
        <v>700</v>
      </c>
      <c r="B23" s="4">
        <v>47</v>
      </c>
      <c r="C23" s="4">
        <v>91</v>
      </c>
      <c r="D23" s="4">
        <v>150</v>
      </c>
      <c r="E23" s="4">
        <v>204</v>
      </c>
      <c r="F23" s="4">
        <v>259</v>
      </c>
      <c r="G23" s="4">
        <v>314</v>
      </c>
      <c r="H23" s="4">
        <v>371</v>
      </c>
      <c r="I23" s="4">
        <v>429</v>
      </c>
      <c r="J23" s="4">
        <v>489</v>
      </c>
      <c r="K23" s="4">
        <v>551</v>
      </c>
      <c r="L23" s="4">
        <v>614</v>
      </c>
      <c r="M23" s="4">
        <v>679</v>
      </c>
      <c r="N23" s="4">
        <v>746</v>
      </c>
    </row>
    <row r="24" spans="1:14" ht="15.75" thickBot="1" x14ac:dyDescent="0.3">
      <c r="A24" s="5">
        <v>800</v>
      </c>
      <c r="B24" s="4">
        <v>53</v>
      </c>
      <c r="C24" s="4">
        <v>102</v>
      </c>
      <c r="D24" s="4">
        <v>166</v>
      </c>
      <c r="E24" s="4">
        <v>226</v>
      </c>
      <c r="F24" s="4">
        <v>286</v>
      </c>
      <c r="G24" s="4">
        <v>346</v>
      </c>
      <c r="H24" s="4">
        <v>407</v>
      </c>
      <c r="I24" s="4">
        <v>470</v>
      </c>
      <c r="J24" s="4">
        <v>535</v>
      </c>
      <c r="K24" s="4">
        <v>602</v>
      </c>
      <c r="L24" s="4">
        <v>670</v>
      </c>
      <c r="M24" s="4">
        <v>740</v>
      </c>
      <c r="N24" s="4">
        <v>812</v>
      </c>
    </row>
    <row r="25" spans="1:14" ht="15.75" thickBot="1" x14ac:dyDescent="0.3">
      <c r="A25" s="5">
        <v>900</v>
      </c>
      <c r="B25" s="4">
        <v>59</v>
      </c>
      <c r="C25" s="4">
        <v>112</v>
      </c>
      <c r="D25" s="4">
        <v>183</v>
      </c>
      <c r="E25" s="4">
        <v>248</v>
      </c>
      <c r="F25" s="4">
        <v>312</v>
      </c>
      <c r="G25" s="4">
        <v>377</v>
      </c>
      <c r="H25" s="4">
        <v>443</v>
      </c>
      <c r="I25" s="4">
        <v>511</v>
      </c>
      <c r="J25" s="4">
        <v>581</v>
      </c>
      <c r="K25" s="4">
        <v>652</v>
      </c>
      <c r="L25" s="4">
        <v>725</v>
      </c>
      <c r="M25" s="4">
        <v>800</v>
      </c>
      <c r="N25" s="4">
        <v>877</v>
      </c>
    </row>
    <row r="26" spans="1:14" ht="15.75" thickBot="1" x14ac:dyDescent="0.3">
      <c r="A26" s="5">
        <v>1000</v>
      </c>
      <c r="B26" s="4">
        <v>64</v>
      </c>
      <c r="C26" s="4">
        <v>123</v>
      </c>
      <c r="D26" s="4">
        <v>199</v>
      </c>
      <c r="E26" s="4">
        <v>269</v>
      </c>
      <c r="F26" s="4">
        <v>339</v>
      </c>
      <c r="G26" s="4">
        <v>408</v>
      </c>
      <c r="H26" s="4">
        <v>479</v>
      </c>
      <c r="I26" s="4">
        <v>552</v>
      </c>
      <c r="J26" s="4">
        <v>626</v>
      </c>
      <c r="K26" s="4">
        <v>702</v>
      </c>
      <c r="L26" s="4">
        <v>780</v>
      </c>
      <c r="M26" s="4">
        <v>860</v>
      </c>
      <c r="N26" s="4">
        <v>941</v>
      </c>
    </row>
    <row r="27" spans="1:14" ht="15.75" thickBot="1" x14ac:dyDescent="0.3">
      <c r="A27" s="5">
        <v>1400</v>
      </c>
      <c r="B27" s="4">
        <v>87</v>
      </c>
      <c r="C27" s="4">
        <v>165</v>
      </c>
      <c r="D27" s="4">
        <v>264</v>
      </c>
      <c r="E27" s="4">
        <v>355</v>
      </c>
      <c r="F27" s="4">
        <v>444</v>
      </c>
      <c r="G27" s="4">
        <v>532</v>
      </c>
      <c r="H27" s="4">
        <v>621</v>
      </c>
      <c r="I27" s="4">
        <v>712</v>
      </c>
      <c r="J27" s="4">
        <v>804</v>
      </c>
      <c r="K27" s="4">
        <v>898</v>
      </c>
      <c r="L27" s="4">
        <v>995</v>
      </c>
      <c r="M27" s="4">
        <v>1092</v>
      </c>
      <c r="N27" s="4">
        <v>1193</v>
      </c>
    </row>
  </sheetData>
  <mergeCells count="3">
    <mergeCell ref="A2:A4"/>
    <mergeCell ref="B2:N2"/>
    <mergeCell ref="B4:N4"/>
  </mergeCells>
  <phoneticPr fontId="1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5"/>
  <sheetViews>
    <sheetView workbookViewId="0">
      <selection activeCell="L15" sqref="L15"/>
    </sheetView>
  </sheetViews>
  <sheetFormatPr defaultRowHeight="15" x14ac:dyDescent="0.25"/>
  <sheetData>
    <row r="1" spans="1:14" ht="16.5" thickBot="1" x14ac:dyDescent="0.3">
      <c r="A1" s="6" t="s">
        <v>3</v>
      </c>
    </row>
    <row r="2" spans="1:14" ht="59.25" customHeight="1" thickBot="1" x14ac:dyDescent="0.3">
      <c r="A2" s="90" t="s">
        <v>4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9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91"/>
      <c r="B4" s="89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92"/>
      <c r="B5" s="4">
        <v>15</v>
      </c>
      <c r="C5" s="4">
        <v>27</v>
      </c>
      <c r="D5" s="4">
        <v>41</v>
      </c>
      <c r="E5" s="4">
        <v>54</v>
      </c>
      <c r="F5" s="4">
        <v>66</v>
      </c>
      <c r="G5" s="4">
        <v>77</v>
      </c>
      <c r="H5" s="4">
        <v>89</v>
      </c>
      <c r="I5" s="4">
        <v>100</v>
      </c>
      <c r="J5" s="4">
        <v>110</v>
      </c>
      <c r="K5" s="4">
        <v>134</v>
      </c>
      <c r="L5" s="4">
        <v>153</v>
      </c>
      <c r="M5" s="4">
        <v>174</v>
      </c>
      <c r="N5" s="4">
        <v>192</v>
      </c>
    </row>
  </sheetData>
  <mergeCells count="3">
    <mergeCell ref="B2:N2"/>
    <mergeCell ref="B4:N4"/>
    <mergeCell ref="A2:A5"/>
  </mergeCells>
  <phoneticPr fontId="1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N5"/>
  <sheetViews>
    <sheetView workbookViewId="0">
      <selection activeCell="L15" sqref="L15"/>
    </sheetView>
  </sheetViews>
  <sheetFormatPr defaultRowHeight="15" x14ac:dyDescent="0.25"/>
  <sheetData>
    <row r="1" spans="1:14" ht="16.5" thickBot="1" x14ac:dyDescent="0.3">
      <c r="A1" s="6" t="s">
        <v>5</v>
      </c>
    </row>
    <row r="2" spans="1:14" ht="36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9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91"/>
      <c r="B4" s="89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92"/>
      <c r="B5" s="4">
        <v>19</v>
      </c>
      <c r="C5" s="4">
        <v>35</v>
      </c>
      <c r="D5" s="4">
        <v>54</v>
      </c>
      <c r="E5" s="4">
        <v>70</v>
      </c>
      <c r="F5" s="4">
        <v>85</v>
      </c>
      <c r="G5" s="4">
        <v>99</v>
      </c>
      <c r="H5" s="4">
        <v>112</v>
      </c>
      <c r="I5" s="4">
        <v>125</v>
      </c>
      <c r="J5" s="4">
        <v>141</v>
      </c>
      <c r="K5" s="4">
        <v>158</v>
      </c>
      <c r="L5" s="4">
        <v>174</v>
      </c>
      <c r="M5" s="4">
        <v>191</v>
      </c>
      <c r="N5" s="4">
        <v>205</v>
      </c>
    </row>
  </sheetData>
  <mergeCells count="3">
    <mergeCell ref="A2:A5"/>
    <mergeCell ref="B2:N2"/>
    <mergeCell ref="B4:N4"/>
  </mergeCells>
  <phoneticPr fontId="1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M27"/>
  <sheetViews>
    <sheetView workbookViewId="0">
      <selection activeCell="A35" sqref="A35"/>
    </sheetView>
  </sheetViews>
  <sheetFormatPr defaultRowHeight="15" x14ac:dyDescent="0.25"/>
  <cols>
    <col min="1" max="1" width="16.7109375" customWidth="1"/>
  </cols>
  <sheetData>
    <row r="1" spans="1:13" ht="16.5" thickBot="1" x14ac:dyDescent="0.3">
      <c r="A1" s="6" t="s">
        <v>7</v>
      </c>
    </row>
    <row r="2" spans="1:13" ht="31.5" customHeight="1" thickBot="1" x14ac:dyDescent="0.3">
      <c r="A2" s="80" t="s">
        <v>0</v>
      </c>
      <c r="B2" s="93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8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32.25" customHeight="1" thickBot="1" x14ac:dyDescent="0.3">
      <c r="A4" s="82"/>
      <c r="B4" s="89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5">
        <v>15</v>
      </c>
      <c r="B5" s="4">
        <v>6</v>
      </c>
      <c r="C5" s="4">
        <v>14</v>
      </c>
      <c r="D5" s="4">
        <v>23</v>
      </c>
      <c r="E5" s="4">
        <v>33</v>
      </c>
      <c r="F5" s="4">
        <v>43</v>
      </c>
      <c r="G5" s="4">
        <v>54</v>
      </c>
      <c r="H5" s="4">
        <v>66</v>
      </c>
      <c r="I5" s="4">
        <v>79</v>
      </c>
      <c r="J5" s="4">
        <v>93</v>
      </c>
      <c r="K5" s="4">
        <v>107</v>
      </c>
      <c r="L5" s="4">
        <v>122</v>
      </c>
      <c r="M5" s="4">
        <v>138</v>
      </c>
    </row>
    <row r="6" spans="1:13" ht="15.75" thickBot="1" x14ac:dyDescent="0.3">
      <c r="A6" s="5">
        <v>20</v>
      </c>
      <c r="B6" s="4">
        <v>7</v>
      </c>
      <c r="C6" s="4">
        <v>16</v>
      </c>
      <c r="D6" s="4">
        <v>26</v>
      </c>
      <c r="E6" s="4">
        <v>37</v>
      </c>
      <c r="F6" s="4">
        <v>48</v>
      </c>
      <c r="G6" s="4">
        <v>60</v>
      </c>
      <c r="H6" s="4">
        <v>73</v>
      </c>
      <c r="I6" s="4">
        <v>87</v>
      </c>
      <c r="J6" s="4">
        <v>102</v>
      </c>
      <c r="K6" s="4">
        <v>117</v>
      </c>
      <c r="L6" s="4">
        <v>134</v>
      </c>
      <c r="M6" s="4">
        <v>151</v>
      </c>
    </row>
    <row r="7" spans="1:13" ht="15.75" thickBot="1" x14ac:dyDescent="0.3">
      <c r="A7" s="5">
        <v>25</v>
      </c>
      <c r="B7" s="4">
        <v>8</v>
      </c>
      <c r="C7" s="4">
        <v>18</v>
      </c>
      <c r="D7" s="4">
        <v>28</v>
      </c>
      <c r="E7" s="4">
        <v>40</v>
      </c>
      <c r="F7" s="4">
        <v>52</v>
      </c>
      <c r="G7" s="4">
        <v>65</v>
      </c>
      <c r="H7" s="4">
        <v>79</v>
      </c>
      <c r="I7" s="4">
        <v>94</v>
      </c>
      <c r="J7" s="4">
        <v>110</v>
      </c>
      <c r="K7" s="4">
        <v>126</v>
      </c>
      <c r="L7" s="4">
        <v>144</v>
      </c>
      <c r="M7" s="4">
        <v>162</v>
      </c>
    </row>
    <row r="8" spans="1:13" ht="15.75" thickBot="1" x14ac:dyDescent="0.3">
      <c r="A8" s="5">
        <v>40</v>
      </c>
      <c r="B8" s="4">
        <v>9</v>
      </c>
      <c r="C8" s="4">
        <v>21</v>
      </c>
      <c r="D8" s="4">
        <v>32</v>
      </c>
      <c r="E8" s="4">
        <v>45</v>
      </c>
      <c r="F8" s="4">
        <v>59</v>
      </c>
      <c r="G8" s="4">
        <v>73</v>
      </c>
      <c r="H8" s="4">
        <v>89</v>
      </c>
      <c r="I8" s="4">
        <v>105</v>
      </c>
      <c r="J8" s="4">
        <v>122</v>
      </c>
      <c r="K8" s="4">
        <v>141</v>
      </c>
      <c r="L8" s="4">
        <v>160</v>
      </c>
      <c r="M8" s="4">
        <v>180</v>
      </c>
    </row>
    <row r="9" spans="1:13" ht="15.75" thickBot="1" x14ac:dyDescent="0.3">
      <c r="A9" s="5">
        <v>50</v>
      </c>
      <c r="B9" s="4">
        <v>10</v>
      </c>
      <c r="C9" s="4">
        <v>23</v>
      </c>
      <c r="D9" s="4">
        <v>36</v>
      </c>
      <c r="E9" s="4">
        <v>50</v>
      </c>
      <c r="F9" s="4">
        <v>64</v>
      </c>
      <c r="G9" s="4">
        <v>80</v>
      </c>
      <c r="H9" s="4">
        <v>96</v>
      </c>
      <c r="I9" s="4">
        <v>114</v>
      </c>
      <c r="J9" s="4">
        <v>133</v>
      </c>
      <c r="K9" s="4">
        <v>152</v>
      </c>
      <c r="L9" s="4">
        <v>173</v>
      </c>
      <c r="M9" s="4">
        <v>194</v>
      </c>
    </row>
    <row r="10" spans="1:13" ht="15.75" thickBot="1" x14ac:dyDescent="0.3">
      <c r="A10" s="5">
        <v>65</v>
      </c>
      <c r="B10" s="4">
        <v>12</v>
      </c>
      <c r="C10" s="4">
        <v>26</v>
      </c>
      <c r="D10" s="4">
        <v>41</v>
      </c>
      <c r="E10" s="4">
        <v>56</v>
      </c>
      <c r="F10" s="4">
        <v>72</v>
      </c>
      <c r="G10" s="4">
        <v>89</v>
      </c>
      <c r="H10" s="4">
        <v>107</v>
      </c>
      <c r="I10" s="4">
        <v>127</v>
      </c>
      <c r="J10" s="4">
        <v>147</v>
      </c>
      <c r="K10" s="4">
        <v>169</v>
      </c>
      <c r="L10" s="4">
        <v>191</v>
      </c>
      <c r="M10" s="4">
        <v>214</v>
      </c>
    </row>
    <row r="11" spans="1:13" ht="15.75" thickBot="1" x14ac:dyDescent="0.3">
      <c r="A11" s="5">
        <v>80</v>
      </c>
      <c r="B11" s="4">
        <v>13</v>
      </c>
      <c r="C11" s="4">
        <v>28</v>
      </c>
      <c r="D11" s="4">
        <v>44</v>
      </c>
      <c r="E11" s="4">
        <v>60</v>
      </c>
      <c r="F11" s="4">
        <v>77</v>
      </c>
      <c r="G11" s="4">
        <v>95</v>
      </c>
      <c r="H11" s="4">
        <v>114</v>
      </c>
      <c r="I11" s="4">
        <v>135</v>
      </c>
      <c r="J11" s="4">
        <v>156</v>
      </c>
      <c r="K11" s="4">
        <v>179</v>
      </c>
      <c r="L11" s="4">
        <v>202</v>
      </c>
      <c r="M11" s="4">
        <v>227</v>
      </c>
    </row>
    <row r="12" spans="1:13" ht="15.75" thickBot="1" x14ac:dyDescent="0.3">
      <c r="A12" s="5">
        <v>100</v>
      </c>
      <c r="B12" s="4">
        <v>14</v>
      </c>
      <c r="C12" s="4">
        <v>31</v>
      </c>
      <c r="D12" s="4">
        <v>48</v>
      </c>
      <c r="E12" s="4">
        <v>65</v>
      </c>
      <c r="F12" s="4">
        <v>84</v>
      </c>
      <c r="G12" s="4">
        <v>103</v>
      </c>
      <c r="H12" s="4">
        <v>124</v>
      </c>
      <c r="I12" s="4">
        <v>146</v>
      </c>
      <c r="J12" s="4">
        <v>169</v>
      </c>
      <c r="K12" s="4">
        <v>193</v>
      </c>
      <c r="L12" s="4">
        <v>218</v>
      </c>
      <c r="M12" s="4">
        <v>244</v>
      </c>
    </row>
    <row r="13" spans="1:13" ht="15.75" thickBot="1" x14ac:dyDescent="0.3">
      <c r="A13" s="5">
        <v>125</v>
      </c>
      <c r="B13" s="4">
        <v>16</v>
      </c>
      <c r="C13" s="4">
        <v>35</v>
      </c>
      <c r="D13" s="4">
        <v>53</v>
      </c>
      <c r="E13" s="4">
        <v>72</v>
      </c>
      <c r="F13" s="4">
        <v>92</v>
      </c>
      <c r="G13" s="4">
        <v>113</v>
      </c>
      <c r="H13" s="4">
        <v>136</v>
      </c>
      <c r="I13" s="4">
        <v>159</v>
      </c>
      <c r="J13" s="4">
        <v>184</v>
      </c>
      <c r="K13" s="4">
        <v>210</v>
      </c>
      <c r="L13" s="4">
        <v>237</v>
      </c>
      <c r="M13" s="4">
        <v>265</v>
      </c>
    </row>
    <row r="14" spans="1:13" ht="15.75" thickBot="1" x14ac:dyDescent="0.3">
      <c r="A14" s="5">
        <v>150</v>
      </c>
      <c r="B14" s="4">
        <v>18</v>
      </c>
      <c r="C14" s="4">
        <v>38</v>
      </c>
      <c r="D14" s="4">
        <v>58</v>
      </c>
      <c r="E14" s="4">
        <v>79</v>
      </c>
      <c r="F14" s="4">
        <v>100</v>
      </c>
      <c r="G14" s="4">
        <v>123</v>
      </c>
      <c r="H14" s="4">
        <v>147</v>
      </c>
      <c r="I14" s="4">
        <v>172</v>
      </c>
      <c r="J14" s="4">
        <v>199</v>
      </c>
      <c r="K14" s="4">
        <v>226</v>
      </c>
      <c r="L14" s="4">
        <v>255</v>
      </c>
      <c r="M14" s="4">
        <v>285</v>
      </c>
    </row>
    <row r="15" spans="1:13" ht="15.75" thickBot="1" x14ac:dyDescent="0.3">
      <c r="A15" s="5">
        <v>200</v>
      </c>
      <c r="B15" s="4">
        <v>22</v>
      </c>
      <c r="C15" s="4">
        <v>46</v>
      </c>
      <c r="D15" s="4">
        <v>70</v>
      </c>
      <c r="E15" s="4">
        <v>93</v>
      </c>
      <c r="F15" s="4">
        <v>118</v>
      </c>
      <c r="G15" s="4">
        <v>144</v>
      </c>
      <c r="H15" s="4">
        <v>172</v>
      </c>
      <c r="I15" s="4">
        <v>200</v>
      </c>
      <c r="J15" s="4">
        <v>230</v>
      </c>
      <c r="K15" s="4">
        <v>262</v>
      </c>
      <c r="L15" s="4">
        <v>294</v>
      </c>
      <c r="M15" s="4">
        <v>328</v>
      </c>
    </row>
    <row r="16" spans="1:13" ht="15.75" thickBot="1" x14ac:dyDescent="0.3">
      <c r="A16" s="5">
        <v>250</v>
      </c>
      <c r="B16" s="4">
        <v>26</v>
      </c>
      <c r="C16" s="4">
        <v>53</v>
      </c>
      <c r="D16" s="4">
        <v>79</v>
      </c>
      <c r="E16" s="4">
        <v>106</v>
      </c>
      <c r="F16" s="4">
        <v>134</v>
      </c>
      <c r="G16" s="4">
        <v>162</v>
      </c>
      <c r="H16" s="4">
        <v>193</v>
      </c>
      <c r="I16" s="4">
        <v>224</v>
      </c>
      <c r="J16" s="4">
        <v>257</v>
      </c>
      <c r="K16" s="4">
        <v>291</v>
      </c>
      <c r="L16" s="4">
        <v>327</v>
      </c>
      <c r="M16" s="4">
        <v>364</v>
      </c>
    </row>
    <row r="17" spans="1:13" ht="15.75" thickBot="1" x14ac:dyDescent="0.3">
      <c r="A17" s="5">
        <v>300</v>
      </c>
      <c r="B17" s="4">
        <v>29</v>
      </c>
      <c r="C17" s="4">
        <v>60</v>
      </c>
      <c r="D17" s="4">
        <v>88</v>
      </c>
      <c r="E17" s="4">
        <v>118</v>
      </c>
      <c r="F17" s="4">
        <v>148</v>
      </c>
      <c r="G17" s="4">
        <v>179</v>
      </c>
      <c r="H17" s="4">
        <v>212</v>
      </c>
      <c r="I17" s="4">
        <v>246</v>
      </c>
      <c r="J17" s="4">
        <v>281</v>
      </c>
      <c r="K17" s="4">
        <v>318</v>
      </c>
      <c r="L17" s="4">
        <v>357</v>
      </c>
      <c r="M17" s="4">
        <v>396</v>
      </c>
    </row>
    <row r="18" spans="1:13" ht="15.75" thickBot="1" x14ac:dyDescent="0.3">
      <c r="A18" s="5">
        <v>350</v>
      </c>
      <c r="B18" s="4">
        <v>33</v>
      </c>
      <c r="C18" s="4">
        <v>66</v>
      </c>
      <c r="D18" s="4">
        <v>97</v>
      </c>
      <c r="E18" s="4">
        <v>129</v>
      </c>
      <c r="F18" s="4">
        <v>161</v>
      </c>
      <c r="G18" s="4">
        <v>195</v>
      </c>
      <c r="H18" s="4">
        <v>230</v>
      </c>
      <c r="I18" s="4">
        <v>267</v>
      </c>
      <c r="J18" s="4">
        <v>305</v>
      </c>
      <c r="K18" s="4">
        <v>344</v>
      </c>
      <c r="L18" s="4">
        <v>385</v>
      </c>
      <c r="M18" s="4">
        <v>428</v>
      </c>
    </row>
    <row r="19" spans="1:13" ht="15.75" thickBot="1" x14ac:dyDescent="0.3">
      <c r="A19" s="5">
        <v>400</v>
      </c>
      <c r="B19" s="4">
        <v>36</v>
      </c>
      <c r="C19" s="4">
        <v>72</v>
      </c>
      <c r="D19" s="4">
        <v>106</v>
      </c>
      <c r="E19" s="4">
        <v>139</v>
      </c>
      <c r="F19" s="4">
        <v>174</v>
      </c>
      <c r="G19" s="4">
        <v>210</v>
      </c>
      <c r="H19" s="4">
        <v>247</v>
      </c>
      <c r="I19" s="4">
        <v>286</v>
      </c>
      <c r="J19" s="4">
        <v>326</v>
      </c>
      <c r="K19" s="4">
        <v>368</v>
      </c>
      <c r="L19" s="4">
        <v>411</v>
      </c>
      <c r="M19" s="4">
        <v>456</v>
      </c>
    </row>
    <row r="20" spans="1:13" ht="15.75" thickBot="1" x14ac:dyDescent="0.3">
      <c r="A20" s="5">
        <v>450</v>
      </c>
      <c r="B20" s="4">
        <v>39</v>
      </c>
      <c r="C20" s="4">
        <v>78</v>
      </c>
      <c r="D20" s="4">
        <v>114</v>
      </c>
      <c r="E20" s="4">
        <v>150</v>
      </c>
      <c r="F20" s="4">
        <v>187</v>
      </c>
      <c r="G20" s="4">
        <v>225</v>
      </c>
      <c r="H20" s="4">
        <v>264</v>
      </c>
      <c r="I20" s="4">
        <v>305</v>
      </c>
      <c r="J20" s="4">
        <v>348</v>
      </c>
      <c r="K20" s="4">
        <v>392</v>
      </c>
      <c r="L20" s="4">
        <v>437</v>
      </c>
      <c r="M20" s="4">
        <v>484</v>
      </c>
    </row>
    <row r="21" spans="1:13" ht="15.75" thickBot="1" x14ac:dyDescent="0.3">
      <c r="A21" s="5">
        <v>500</v>
      </c>
      <c r="B21" s="4">
        <v>43</v>
      </c>
      <c r="C21" s="4">
        <v>84</v>
      </c>
      <c r="D21" s="4">
        <v>123</v>
      </c>
      <c r="E21" s="4">
        <v>161</v>
      </c>
      <c r="F21" s="4">
        <v>200</v>
      </c>
      <c r="G21" s="4">
        <v>241</v>
      </c>
      <c r="H21" s="4">
        <v>282</v>
      </c>
      <c r="I21" s="4">
        <v>326</v>
      </c>
      <c r="J21" s="4">
        <v>370</v>
      </c>
      <c r="K21" s="4">
        <v>417</v>
      </c>
      <c r="L21" s="4">
        <v>465</v>
      </c>
      <c r="M21" s="4">
        <v>514</v>
      </c>
    </row>
    <row r="22" spans="1:13" ht="15.75" thickBot="1" x14ac:dyDescent="0.3">
      <c r="A22" s="5">
        <v>600</v>
      </c>
      <c r="B22" s="4">
        <v>49</v>
      </c>
      <c r="C22" s="4">
        <v>96</v>
      </c>
      <c r="D22" s="4">
        <v>139</v>
      </c>
      <c r="E22" s="4">
        <v>181</v>
      </c>
      <c r="F22" s="4">
        <v>225</v>
      </c>
      <c r="G22" s="4">
        <v>269</v>
      </c>
      <c r="H22" s="4">
        <v>315</v>
      </c>
      <c r="I22" s="4">
        <v>363</v>
      </c>
      <c r="J22" s="4">
        <v>412</v>
      </c>
      <c r="K22" s="4">
        <v>462</v>
      </c>
      <c r="L22" s="4">
        <v>515</v>
      </c>
      <c r="M22" s="4">
        <v>569</v>
      </c>
    </row>
    <row r="23" spans="1:13" ht="15.75" thickBot="1" x14ac:dyDescent="0.3">
      <c r="A23" s="5">
        <v>700</v>
      </c>
      <c r="B23" s="4">
        <v>55</v>
      </c>
      <c r="C23" s="4">
        <v>107</v>
      </c>
      <c r="D23" s="4">
        <v>153</v>
      </c>
      <c r="E23" s="4">
        <v>200</v>
      </c>
      <c r="F23" s="4">
        <v>247</v>
      </c>
      <c r="G23" s="4">
        <v>295</v>
      </c>
      <c r="H23" s="4">
        <v>344</v>
      </c>
      <c r="I23" s="4">
        <v>395</v>
      </c>
      <c r="J23" s="4">
        <v>448</v>
      </c>
      <c r="K23" s="4">
        <v>502</v>
      </c>
      <c r="L23" s="4">
        <v>558</v>
      </c>
      <c r="M23" s="4">
        <v>616</v>
      </c>
    </row>
    <row r="24" spans="1:13" ht="15.75" thickBot="1" x14ac:dyDescent="0.3">
      <c r="A24" s="5">
        <v>800</v>
      </c>
      <c r="B24" s="4">
        <v>61</v>
      </c>
      <c r="C24" s="4">
        <v>118</v>
      </c>
      <c r="D24" s="4">
        <v>169</v>
      </c>
      <c r="E24" s="4">
        <v>220</v>
      </c>
      <c r="F24" s="4">
        <v>270</v>
      </c>
      <c r="G24" s="4">
        <v>322</v>
      </c>
      <c r="H24" s="4">
        <v>376</v>
      </c>
      <c r="I24" s="4">
        <v>431</v>
      </c>
      <c r="J24" s="4">
        <v>487</v>
      </c>
      <c r="K24" s="4">
        <v>546</v>
      </c>
      <c r="L24" s="4">
        <v>606</v>
      </c>
      <c r="M24" s="4">
        <v>668</v>
      </c>
    </row>
    <row r="25" spans="1:13" ht="15.75" thickBot="1" x14ac:dyDescent="0.3">
      <c r="A25" s="5">
        <v>900</v>
      </c>
      <c r="B25" s="4">
        <v>67</v>
      </c>
      <c r="C25" s="4">
        <v>130</v>
      </c>
      <c r="D25" s="4">
        <v>185</v>
      </c>
      <c r="E25" s="4">
        <v>239</v>
      </c>
      <c r="F25" s="4">
        <v>294</v>
      </c>
      <c r="G25" s="4">
        <v>350</v>
      </c>
      <c r="H25" s="4">
        <v>407</v>
      </c>
      <c r="I25" s="4">
        <v>466</v>
      </c>
      <c r="J25" s="4">
        <v>527</v>
      </c>
      <c r="K25" s="4">
        <v>589</v>
      </c>
      <c r="L25" s="4">
        <v>653</v>
      </c>
      <c r="M25" s="4">
        <v>718</v>
      </c>
    </row>
    <row r="26" spans="1:13" ht="15.75" thickBot="1" x14ac:dyDescent="0.3">
      <c r="A26" s="5">
        <v>1000</v>
      </c>
      <c r="B26" s="4">
        <v>74</v>
      </c>
      <c r="C26" s="4">
        <v>141</v>
      </c>
      <c r="D26" s="4">
        <v>201</v>
      </c>
      <c r="E26" s="4">
        <v>259</v>
      </c>
      <c r="F26" s="4">
        <v>318</v>
      </c>
      <c r="G26" s="4">
        <v>377</v>
      </c>
      <c r="H26" s="4">
        <v>438</v>
      </c>
      <c r="I26" s="4">
        <v>501</v>
      </c>
      <c r="J26" s="4">
        <v>565</v>
      </c>
      <c r="K26" s="4">
        <v>631</v>
      </c>
      <c r="L26" s="4">
        <v>699</v>
      </c>
      <c r="M26" s="4">
        <v>768</v>
      </c>
    </row>
    <row r="27" spans="1:13" ht="15.75" thickBot="1" x14ac:dyDescent="0.3">
      <c r="A27" s="5">
        <v>1400</v>
      </c>
      <c r="B27" s="4">
        <v>99</v>
      </c>
      <c r="C27" s="4">
        <v>187</v>
      </c>
      <c r="D27" s="4">
        <v>263</v>
      </c>
      <c r="E27" s="4">
        <v>337</v>
      </c>
      <c r="F27" s="4">
        <v>411</v>
      </c>
      <c r="G27" s="4">
        <v>485</v>
      </c>
      <c r="H27" s="4">
        <v>561</v>
      </c>
      <c r="I27" s="4">
        <v>638</v>
      </c>
      <c r="J27" s="4">
        <v>716</v>
      </c>
      <c r="K27" s="4">
        <v>797</v>
      </c>
      <c r="L27" s="4">
        <v>880</v>
      </c>
      <c r="M27" s="4">
        <v>964</v>
      </c>
    </row>
  </sheetData>
  <mergeCells count="3">
    <mergeCell ref="A2:A4"/>
    <mergeCell ref="B2:M2"/>
    <mergeCell ref="B4:M4"/>
  </mergeCells>
  <phoneticPr fontId="1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workbookViewId="0">
      <selection activeCell="B6" sqref="B6"/>
    </sheetView>
  </sheetViews>
  <sheetFormatPr defaultRowHeight="15" x14ac:dyDescent="0.25"/>
  <cols>
    <col min="1" max="1" width="16" customWidth="1"/>
  </cols>
  <sheetData>
    <row r="1" spans="1:13" ht="25.5" customHeight="1" thickBot="1" x14ac:dyDescent="0.3">
      <c r="A1" s="6" t="s">
        <v>7</v>
      </c>
    </row>
    <row r="2" spans="1:13" ht="15.75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9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15.75" thickBot="1" x14ac:dyDescent="0.3">
      <c r="A4" s="9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22.5" customHeight="1" thickBot="1" x14ac:dyDescent="0.3">
      <c r="A5" s="92"/>
      <c r="B5" s="4">
        <v>23</v>
      </c>
      <c r="C5" s="4">
        <v>41</v>
      </c>
      <c r="D5" s="4">
        <v>56</v>
      </c>
      <c r="E5" s="4">
        <v>69</v>
      </c>
      <c r="F5" s="4">
        <v>82</v>
      </c>
      <c r="G5" s="4">
        <v>94</v>
      </c>
      <c r="H5" s="4">
        <v>106</v>
      </c>
      <c r="I5" s="4">
        <v>118</v>
      </c>
      <c r="J5" s="4">
        <v>130</v>
      </c>
      <c r="K5" s="4">
        <v>141</v>
      </c>
      <c r="L5" s="4">
        <v>153</v>
      </c>
      <c r="M5" s="4">
        <v>165</v>
      </c>
    </row>
  </sheetData>
  <mergeCells count="3">
    <mergeCell ref="A2:A5"/>
    <mergeCell ref="B2:M2"/>
    <mergeCell ref="B4:M4"/>
  </mergeCells>
  <phoneticPr fontId="1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L20"/>
  <sheetViews>
    <sheetView topLeftCell="A4"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10</v>
      </c>
    </row>
    <row r="2" spans="1:12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5">
        <v>20</v>
      </c>
      <c r="B5" s="4">
        <v>5</v>
      </c>
      <c r="C5" s="4">
        <v>6</v>
      </c>
      <c r="D5" s="4">
        <v>6</v>
      </c>
      <c r="E5" s="4">
        <v>7</v>
      </c>
      <c r="F5" s="4">
        <v>8</v>
      </c>
      <c r="G5" s="4">
        <v>9</v>
      </c>
      <c r="H5" s="4">
        <v>10</v>
      </c>
      <c r="I5" s="4">
        <v>10</v>
      </c>
      <c r="J5" s="4">
        <v>11</v>
      </c>
      <c r="K5" s="4">
        <v>13</v>
      </c>
      <c r="L5" s="4">
        <v>14</v>
      </c>
    </row>
    <row r="6" spans="1:12" ht="15.75" thickBot="1" x14ac:dyDescent="0.3">
      <c r="A6" s="5">
        <v>25</v>
      </c>
      <c r="B6" s="4">
        <v>6</v>
      </c>
      <c r="C6" s="4">
        <v>7</v>
      </c>
      <c r="D6" s="4">
        <v>7</v>
      </c>
      <c r="E6" s="4">
        <v>8</v>
      </c>
      <c r="F6" s="4">
        <v>9</v>
      </c>
      <c r="G6" s="4">
        <v>10</v>
      </c>
      <c r="H6" s="4">
        <v>11</v>
      </c>
      <c r="I6" s="4">
        <v>14</v>
      </c>
      <c r="J6" s="4">
        <v>16</v>
      </c>
      <c r="K6" s="4">
        <v>17</v>
      </c>
      <c r="L6" s="4">
        <v>20</v>
      </c>
    </row>
    <row r="7" spans="1:12" ht="15.75" thickBot="1" x14ac:dyDescent="0.3">
      <c r="A7" s="5">
        <v>40</v>
      </c>
      <c r="B7" s="4">
        <v>7</v>
      </c>
      <c r="C7" s="4">
        <v>7</v>
      </c>
      <c r="D7" s="4">
        <v>8</v>
      </c>
      <c r="E7" s="4">
        <v>9</v>
      </c>
      <c r="F7" s="4">
        <v>11</v>
      </c>
      <c r="G7" s="4">
        <v>12</v>
      </c>
      <c r="H7" s="4">
        <v>13</v>
      </c>
      <c r="I7" s="4">
        <v>16</v>
      </c>
      <c r="J7" s="4">
        <v>17</v>
      </c>
      <c r="K7" s="4">
        <v>19</v>
      </c>
      <c r="L7" s="4">
        <v>21</v>
      </c>
    </row>
    <row r="8" spans="1:12" ht="15.75" thickBot="1" x14ac:dyDescent="0.3">
      <c r="A8" s="5">
        <v>50</v>
      </c>
      <c r="B8" s="4">
        <v>7</v>
      </c>
      <c r="C8" s="4">
        <v>8</v>
      </c>
      <c r="D8" s="4">
        <v>9</v>
      </c>
      <c r="E8" s="4">
        <v>10</v>
      </c>
      <c r="F8" s="4">
        <v>12</v>
      </c>
      <c r="G8" s="4">
        <v>13</v>
      </c>
      <c r="H8" s="4">
        <v>15</v>
      </c>
      <c r="I8" s="4">
        <v>17</v>
      </c>
      <c r="J8" s="4">
        <v>19</v>
      </c>
      <c r="K8" s="4">
        <v>20</v>
      </c>
      <c r="L8" s="4">
        <v>22</v>
      </c>
    </row>
    <row r="9" spans="1:12" ht="15.75" thickBot="1" x14ac:dyDescent="0.3">
      <c r="A9" s="5">
        <v>65</v>
      </c>
      <c r="B9" s="4">
        <v>8</v>
      </c>
      <c r="C9" s="4">
        <v>9</v>
      </c>
      <c r="D9" s="4">
        <v>9</v>
      </c>
      <c r="E9" s="4">
        <v>11</v>
      </c>
      <c r="F9" s="4">
        <v>13</v>
      </c>
      <c r="G9" s="4">
        <v>14</v>
      </c>
      <c r="H9" s="4">
        <v>16</v>
      </c>
      <c r="I9" s="4">
        <v>18</v>
      </c>
      <c r="J9" s="4">
        <v>20</v>
      </c>
      <c r="K9" s="4">
        <v>21</v>
      </c>
      <c r="L9" s="4">
        <v>23</v>
      </c>
    </row>
    <row r="10" spans="1:12" ht="15.75" thickBot="1" x14ac:dyDescent="0.3">
      <c r="A10" s="5">
        <v>80</v>
      </c>
      <c r="B10" s="4">
        <v>9</v>
      </c>
      <c r="C10" s="4">
        <v>9</v>
      </c>
      <c r="D10" s="4">
        <v>10</v>
      </c>
      <c r="E10" s="4">
        <v>12</v>
      </c>
      <c r="F10" s="4">
        <v>13</v>
      </c>
      <c r="G10" s="4">
        <v>15</v>
      </c>
      <c r="H10" s="4">
        <v>17</v>
      </c>
      <c r="I10" s="4">
        <v>19</v>
      </c>
      <c r="J10" s="4">
        <v>20</v>
      </c>
      <c r="K10" s="4">
        <v>22</v>
      </c>
      <c r="L10" s="4">
        <v>24</v>
      </c>
    </row>
    <row r="11" spans="1:12" ht="15.75" thickBot="1" x14ac:dyDescent="0.3">
      <c r="A11" s="5">
        <v>100</v>
      </c>
      <c r="B11" s="4">
        <v>10</v>
      </c>
      <c r="C11" s="4">
        <v>10</v>
      </c>
      <c r="D11" s="4">
        <v>11</v>
      </c>
      <c r="E11" s="4">
        <v>13</v>
      </c>
      <c r="F11" s="4">
        <v>14</v>
      </c>
      <c r="G11" s="4">
        <v>16</v>
      </c>
      <c r="H11" s="4">
        <v>18</v>
      </c>
      <c r="I11" s="4">
        <v>20</v>
      </c>
      <c r="J11" s="4">
        <v>21</v>
      </c>
      <c r="K11" s="4">
        <v>23</v>
      </c>
      <c r="L11" s="4">
        <v>25</v>
      </c>
    </row>
    <row r="12" spans="1:12" ht="15.75" thickBot="1" x14ac:dyDescent="0.3">
      <c r="A12" s="5">
        <v>125</v>
      </c>
      <c r="B12" s="4">
        <v>11</v>
      </c>
      <c r="C12" s="4">
        <v>11</v>
      </c>
      <c r="D12" s="4">
        <v>12</v>
      </c>
      <c r="E12" s="4">
        <v>14</v>
      </c>
      <c r="F12" s="4">
        <v>16</v>
      </c>
      <c r="G12" s="4">
        <v>18</v>
      </c>
      <c r="H12" s="4">
        <v>20</v>
      </c>
      <c r="I12" s="4">
        <v>21</v>
      </c>
      <c r="J12" s="4">
        <v>23</v>
      </c>
      <c r="K12" s="4">
        <v>26</v>
      </c>
      <c r="L12" s="4">
        <v>27</v>
      </c>
    </row>
    <row r="13" spans="1:12" ht="15.75" thickBot="1" x14ac:dyDescent="0.3">
      <c r="A13" s="5">
        <v>150</v>
      </c>
      <c r="B13" s="4">
        <v>12</v>
      </c>
      <c r="C13" s="4">
        <v>13</v>
      </c>
      <c r="D13" s="4">
        <v>13</v>
      </c>
      <c r="E13" s="4">
        <v>16</v>
      </c>
      <c r="F13" s="4">
        <v>17</v>
      </c>
      <c r="G13" s="4">
        <v>20</v>
      </c>
      <c r="H13" s="4">
        <v>21</v>
      </c>
      <c r="I13" s="4">
        <v>23</v>
      </c>
      <c r="J13" s="4">
        <v>25</v>
      </c>
      <c r="K13" s="4">
        <v>27</v>
      </c>
      <c r="L13" s="4">
        <v>30</v>
      </c>
    </row>
    <row r="14" spans="1:12" ht="15.75" thickBot="1" x14ac:dyDescent="0.3">
      <c r="A14" s="5">
        <v>200</v>
      </c>
      <c r="B14" s="4">
        <v>15</v>
      </c>
      <c r="C14" s="4">
        <v>16</v>
      </c>
      <c r="D14" s="4">
        <v>16</v>
      </c>
      <c r="E14" s="4">
        <v>19</v>
      </c>
      <c r="F14" s="4">
        <v>21</v>
      </c>
      <c r="G14" s="4">
        <v>23</v>
      </c>
      <c r="H14" s="4">
        <v>25</v>
      </c>
      <c r="I14" s="4">
        <v>27</v>
      </c>
      <c r="J14" s="4">
        <v>30</v>
      </c>
      <c r="K14" s="4">
        <v>31</v>
      </c>
      <c r="L14" s="4">
        <v>34</v>
      </c>
    </row>
    <row r="15" spans="1:12" ht="15.75" thickBot="1" x14ac:dyDescent="0.3">
      <c r="A15" s="5">
        <v>250</v>
      </c>
      <c r="B15" s="4">
        <v>16</v>
      </c>
      <c r="C15" s="4">
        <v>17</v>
      </c>
      <c r="D15" s="4">
        <v>19</v>
      </c>
      <c r="E15" s="4">
        <v>20</v>
      </c>
      <c r="F15" s="4">
        <v>23</v>
      </c>
      <c r="G15" s="4">
        <v>26</v>
      </c>
      <c r="H15" s="4">
        <v>27</v>
      </c>
      <c r="I15" s="4">
        <v>30</v>
      </c>
      <c r="J15" s="4">
        <v>33</v>
      </c>
      <c r="K15" s="4">
        <v>36</v>
      </c>
      <c r="L15" s="4">
        <v>38</v>
      </c>
    </row>
    <row r="16" spans="1:12" ht="15.75" thickBot="1" x14ac:dyDescent="0.3">
      <c r="A16" s="5">
        <v>300</v>
      </c>
      <c r="B16" s="4">
        <v>19</v>
      </c>
      <c r="C16" s="4">
        <v>20</v>
      </c>
      <c r="D16" s="4">
        <v>21</v>
      </c>
      <c r="E16" s="4">
        <v>23</v>
      </c>
      <c r="F16" s="4">
        <v>26</v>
      </c>
      <c r="G16" s="4">
        <v>29</v>
      </c>
      <c r="H16" s="4">
        <v>31</v>
      </c>
      <c r="I16" s="4">
        <v>34</v>
      </c>
      <c r="J16" s="4">
        <v>37</v>
      </c>
      <c r="K16" s="4">
        <v>39</v>
      </c>
      <c r="L16" s="4">
        <v>41</v>
      </c>
    </row>
    <row r="17" spans="1:12" ht="15.75" thickBot="1" x14ac:dyDescent="0.3">
      <c r="A17" s="5">
        <v>350</v>
      </c>
      <c r="B17" s="4">
        <v>21</v>
      </c>
      <c r="C17" s="4">
        <v>22</v>
      </c>
      <c r="D17" s="4">
        <v>23</v>
      </c>
      <c r="E17" s="4">
        <v>26</v>
      </c>
      <c r="F17" s="4">
        <v>29</v>
      </c>
      <c r="G17" s="4">
        <v>31</v>
      </c>
      <c r="H17" s="4">
        <v>34</v>
      </c>
      <c r="I17" s="4">
        <v>36</v>
      </c>
      <c r="J17" s="4">
        <v>38</v>
      </c>
      <c r="K17" s="4">
        <v>41</v>
      </c>
      <c r="L17" s="4">
        <v>44</v>
      </c>
    </row>
    <row r="18" spans="1:12" ht="15.75" thickBot="1" x14ac:dyDescent="0.3">
      <c r="A18" s="5">
        <v>400</v>
      </c>
      <c r="B18" s="4">
        <v>23</v>
      </c>
      <c r="C18" s="4">
        <v>24</v>
      </c>
      <c r="D18" s="4">
        <v>26</v>
      </c>
      <c r="E18" s="4">
        <v>28</v>
      </c>
      <c r="F18" s="4">
        <v>30</v>
      </c>
      <c r="G18" s="4">
        <v>34</v>
      </c>
      <c r="H18" s="4">
        <v>36</v>
      </c>
      <c r="I18" s="4">
        <v>38</v>
      </c>
      <c r="J18" s="4">
        <v>41</v>
      </c>
      <c r="K18" s="4">
        <v>44</v>
      </c>
      <c r="L18" s="4">
        <v>46</v>
      </c>
    </row>
    <row r="19" spans="1:12" ht="15.75" thickBot="1" x14ac:dyDescent="0.3">
      <c r="A19" s="5">
        <v>450</v>
      </c>
      <c r="B19" s="4">
        <v>25</v>
      </c>
      <c r="C19" s="4">
        <v>27</v>
      </c>
      <c r="D19" s="4">
        <v>28</v>
      </c>
      <c r="E19" s="4">
        <v>30</v>
      </c>
      <c r="F19" s="4">
        <v>33</v>
      </c>
      <c r="G19" s="4">
        <v>35</v>
      </c>
      <c r="H19" s="4">
        <v>37</v>
      </c>
      <c r="I19" s="4">
        <v>40</v>
      </c>
      <c r="J19" s="4">
        <v>42</v>
      </c>
      <c r="K19" s="4">
        <v>45</v>
      </c>
      <c r="L19" s="4">
        <v>48</v>
      </c>
    </row>
    <row r="20" spans="1:12" ht="15.75" thickBot="1" x14ac:dyDescent="0.3">
      <c r="A20" s="5">
        <v>500</v>
      </c>
      <c r="B20" s="4">
        <v>28</v>
      </c>
      <c r="C20" s="4">
        <v>29</v>
      </c>
      <c r="D20" s="4">
        <v>30</v>
      </c>
      <c r="E20" s="4">
        <v>33</v>
      </c>
      <c r="F20" s="4">
        <v>35</v>
      </c>
      <c r="G20" s="4">
        <v>37</v>
      </c>
      <c r="H20" s="4">
        <v>40</v>
      </c>
      <c r="I20" s="4">
        <v>42</v>
      </c>
      <c r="J20" s="4">
        <v>45</v>
      </c>
      <c r="K20" s="4">
        <v>47</v>
      </c>
      <c r="L20" s="4">
        <v>49</v>
      </c>
    </row>
  </sheetData>
  <mergeCells count="3">
    <mergeCell ref="A2:A4"/>
    <mergeCell ref="B2:L2"/>
    <mergeCell ref="B4:L4"/>
  </mergeCells>
  <phoneticPr fontId="1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7"/>
  <sheetViews>
    <sheetView workbookViewId="0">
      <selection activeCell="A35" sqref="A35"/>
    </sheetView>
  </sheetViews>
  <sheetFormatPr defaultRowHeight="15" x14ac:dyDescent="0.25"/>
  <cols>
    <col min="1" max="1" width="15.42578125" customWidth="1"/>
  </cols>
  <sheetData>
    <row r="1" spans="1:13" ht="16.5" thickBot="1" x14ac:dyDescent="0.3">
      <c r="A1" s="6" t="s">
        <v>8</v>
      </c>
    </row>
    <row r="2" spans="1:13" ht="26.25" customHeight="1" thickBot="1" x14ac:dyDescent="0.3">
      <c r="A2" s="80" t="s">
        <v>0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8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30.75" customHeight="1" thickBot="1" x14ac:dyDescent="0.3">
      <c r="A4" s="82"/>
      <c r="B4" s="93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5">
        <v>15</v>
      </c>
      <c r="B5" s="4">
        <v>6</v>
      </c>
      <c r="C5" s="4">
        <v>16</v>
      </c>
      <c r="D5" s="4">
        <v>25</v>
      </c>
      <c r="E5" s="4">
        <v>35</v>
      </c>
      <c r="F5" s="4">
        <v>46</v>
      </c>
      <c r="G5" s="4">
        <v>58</v>
      </c>
      <c r="H5" s="4">
        <v>71</v>
      </c>
      <c r="I5" s="4">
        <v>85</v>
      </c>
      <c r="J5" s="4">
        <v>99</v>
      </c>
      <c r="K5" s="4">
        <v>114</v>
      </c>
      <c r="L5" s="4">
        <v>130</v>
      </c>
      <c r="M5" s="4">
        <v>147</v>
      </c>
    </row>
    <row r="6" spans="1:13" ht="15.75" thickBot="1" x14ac:dyDescent="0.3">
      <c r="A6" s="5">
        <v>20</v>
      </c>
      <c r="B6" s="4">
        <v>7</v>
      </c>
      <c r="C6" s="4">
        <v>18</v>
      </c>
      <c r="D6" s="4">
        <v>28</v>
      </c>
      <c r="E6" s="4">
        <v>40</v>
      </c>
      <c r="F6" s="4">
        <v>52</v>
      </c>
      <c r="G6" s="4">
        <v>65</v>
      </c>
      <c r="H6" s="4">
        <v>79</v>
      </c>
      <c r="I6" s="4">
        <v>93</v>
      </c>
      <c r="J6" s="4">
        <v>109</v>
      </c>
      <c r="K6" s="4">
        <v>126</v>
      </c>
      <c r="L6" s="4">
        <v>143</v>
      </c>
      <c r="M6" s="4">
        <v>161</v>
      </c>
    </row>
    <row r="7" spans="1:13" ht="15.75" thickBot="1" x14ac:dyDescent="0.3">
      <c r="A7" s="5">
        <v>25</v>
      </c>
      <c r="B7" s="4">
        <v>8</v>
      </c>
      <c r="C7" s="4">
        <v>20</v>
      </c>
      <c r="D7" s="4">
        <v>31</v>
      </c>
      <c r="E7" s="4">
        <v>43</v>
      </c>
      <c r="F7" s="4">
        <v>56</v>
      </c>
      <c r="G7" s="4">
        <v>70</v>
      </c>
      <c r="H7" s="4">
        <v>85</v>
      </c>
      <c r="I7" s="4">
        <v>101</v>
      </c>
      <c r="J7" s="4">
        <v>118</v>
      </c>
      <c r="K7" s="4">
        <v>136</v>
      </c>
      <c r="L7" s="4">
        <v>154</v>
      </c>
      <c r="M7" s="4">
        <v>174</v>
      </c>
    </row>
    <row r="8" spans="1:13" ht="15.75" thickBot="1" x14ac:dyDescent="0.3">
      <c r="A8" s="5">
        <v>40</v>
      </c>
      <c r="B8" s="4">
        <v>10</v>
      </c>
      <c r="C8" s="4">
        <v>23</v>
      </c>
      <c r="D8" s="4">
        <v>36</v>
      </c>
      <c r="E8" s="4">
        <v>49</v>
      </c>
      <c r="F8" s="4">
        <v>64</v>
      </c>
      <c r="G8" s="4">
        <v>80</v>
      </c>
      <c r="H8" s="4">
        <v>96</v>
      </c>
      <c r="I8" s="4">
        <v>114</v>
      </c>
      <c r="J8" s="4">
        <v>132</v>
      </c>
      <c r="K8" s="4">
        <v>152</v>
      </c>
      <c r="L8" s="4">
        <v>172</v>
      </c>
      <c r="M8" s="4">
        <v>194</v>
      </c>
    </row>
    <row r="9" spans="1:13" ht="15.75" thickBot="1" x14ac:dyDescent="0.3">
      <c r="A9" s="5">
        <v>50</v>
      </c>
      <c r="B9" s="4">
        <v>11</v>
      </c>
      <c r="C9" s="4">
        <v>25</v>
      </c>
      <c r="D9" s="4">
        <v>40</v>
      </c>
      <c r="E9" s="4">
        <v>54</v>
      </c>
      <c r="F9" s="4">
        <v>70</v>
      </c>
      <c r="G9" s="4">
        <v>87</v>
      </c>
      <c r="H9" s="4">
        <v>105</v>
      </c>
      <c r="I9" s="4">
        <v>124</v>
      </c>
      <c r="J9" s="4">
        <v>144</v>
      </c>
      <c r="K9" s="4">
        <v>165</v>
      </c>
      <c r="L9" s="4">
        <v>187</v>
      </c>
      <c r="M9" s="4">
        <v>210</v>
      </c>
    </row>
    <row r="10" spans="1:13" ht="15.75" thickBot="1" x14ac:dyDescent="0.3">
      <c r="A10" s="5">
        <v>65</v>
      </c>
      <c r="B10" s="4">
        <v>13</v>
      </c>
      <c r="C10" s="4">
        <v>29</v>
      </c>
      <c r="D10" s="4">
        <v>45</v>
      </c>
      <c r="E10" s="4">
        <v>62</v>
      </c>
      <c r="F10" s="4">
        <v>79</v>
      </c>
      <c r="G10" s="4">
        <v>98</v>
      </c>
      <c r="H10" s="4">
        <v>118</v>
      </c>
      <c r="I10" s="4">
        <v>139</v>
      </c>
      <c r="J10" s="4">
        <v>161</v>
      </c>
      <c r="K10" s="4">
        <v>184</v>
      </c>
      <c r="L10" s="4">
        <v>208</v>
      </c>
      <c r="M10" s="4">
        <v>233</v>
      </c>
    </row>
    <row r="11" spans="1:13" ht="15.75" thickBot="1" x14ac:dyDescent="0.3">
      <c r="A11" s="5">
        <v>80</v>
      </c>
      <c r="B11" s="4">
        <v>14</v>
      </c>
      <c r="C11" s="4">
        <v>32</v>
      </c>
      <c r="D11" s="4">
        <v>49</v>
      </c>
      <c r="E11" s="4">
        <v>66</v>
      </c>
      <c r="F11" s="4">
        <v>85</v>
      </c>
      <c r="G11" s="4">
        <v>105</v>
      </c>
      <c r="H11" s="4">
        <v>126</v>
      </c>
      <c r="I11" s="4">
        <v>148</v>
      </c>
      <c r="J11" s="4">
        <v>171</v>
      </c>
      <c r="K11" s="4">
        <v>195</v>
      </c>
      <c r="L11" s="4">
        <v>221</v>
      </c>
      <c r="M11" s="4">
        <v>247</v>
      </c>
    </row>
    <row r="12" spans="1:13" ht="15.75" thickBot="1" x14ac:dyDescent="0.3">
      <c r="A12" s="5">
        <v>100</v>
      </c>
      <c r="B12" s="4">
        <v>16</v>
      </c>
      <c r="C12" s="4">
        <v>35</v>
      </c>
      <c r="D12" s="4">
        <v>54</v>
      </c>
      <c r="E12" s="4">
        <v>73</v>
      </c>
      <c r="F12" s="4">
        <v>93</v>
      </c>
      <c r="G12" s="4">
        <v>115</v>
      </c>
      <c r="H12" s="4">
        <v>137</v>
      </c>
      <c r="I12" s="4">
        <v>161</v>
      </c>
      <c r="J12" s="4">
        <v>186</v>
      </c>
      <c r="K12" s="4">
        <v>212</v>
      </c>
      <c r="L12" s="4">
        <v>239</v>
      </c>
      <c r="M12" s="4">
        <v>267</v>
      </c>
    </row>
    <row r="13" spans="1:13" ht="15.75" thickBot="1" x14ac:dyDescent="0.3">
      <c r="A13" s="5">
        <v>125</v>
      </c>
      <c r="B13" s="4">
        <v>18</v>
      </c>
      <c r="C13" s="4">
        <v>39</v>
      </c>
      <c r="D13" s="4">
        <v>60</v>
      </c>
      <c r="E13" s="4">
        <v>81</v>
      </c>
      <c r="F13" s="4">
        <v>103</v>
      </c>
      <c r="G13" s="4">
        <v>126</v>
      </c>
      <c r="H13" s="4">
        <v>151</v>
      </c>
      <c r="I13" s="4">
        <v>176</v>
      </c>
      <c r="J13" s="4">
        <v>203</v>
      </c>
      <c r="K13" s="4">
        <v>231</v>
      </c>
      <c r="L13" s="4">
        <v>261</v>
      </c>
      <c r="M13" s="4">
        <v>291</v>
      </c>
    </row>
    <row r="14" spans="1:13" ht="15.75" thickBot="1" x14ac:dyDescent="0.3">
      <c r="A14" s="5">
        <v>150</v>
      </c>
      <c r="B14" s="4">
        <v>21</v>
      </c>
      <c r="C14" s="4">
        <v>44</v>
      </c>
      <c r="D14" s="4">
        <v>66</v>
      </c>
      <c r="E14" s="4">
        <v>89</v>
      </c>
      <c r="F14" s="4">
        <v>113</v>
      </c>
      <c r="G14" s="4">
        <v>138</v>
      </c>
      <c r="H14" s="4">
        <v>164</v>
      </c>
      <c r="I14" s="4">
        <v>192</v>
      </c>
      <c r="J14" s="4">
        <v>221</v>
      </c>
      <c r="K14" s="4">
        <v>251</v>
      </c>
      <c r="L14" s="4">
        <v>282</v>
      </c>
      <c r="M14" s="4">
        <v>315</v>
      </c>
    </row>
    <row r="15" spans="1:13" ht="15.75" thickBot="1" x14ac:dyDescent="0.3">
      <c r="A15" s="5">
        <v>200</v>
      </c>
      <c r="B15" s="4">
        <v>26</v>
      </c>
      <c r="C15" s="4">
        <v>53</v>
      </c>
      <c r="D15" s="4">
        <v>80</v>
      </c>
      <c r="E15" s="4">
        <v>107</v>
      </c>
      <c r="F15" s="4">
        <v>134</v>
      </c>
      <c r="G15" s="4">
        <v>163</v>
      </c>
      <c r="H15" s="4">
        <v>194</v>
      </c>
      <c r="I15" s="4">
        <v>225</v>
      </c>
      <c r="J15" s="4">
        <v>258</v>
      </c>
      <c r="K15" s="4">
        <v>292</v>
      </c>
      <c r="L15" s="4">
        <v>328</v>
      </c>
      <c r="M15" s="4">
        <v>365</v>
      </c>
    </row>
    <row r="16" spans="1:13" ht="15.75" thickBot="1" x14ac:dyDescent="0.3">
      <c r="A16" s="5">
        <v>250</v>
      </c>
      <c r="B16" s="4">
        <v>30</v>
      </c>
      <c r="C16" s="4">
        <v>62</v>
      </c>
      <c r="D16" s="4">
        <v>92</v>
      </c>
      <c r="E16" s="4">
        <v>122</v>
      </c>
      <c r="F16" s="4">
        <v>153</v>
      </c>
      <c r="G16" s="4">
        <v>185</v>
      </c>
      <c r="H16" s="4">
        <v>218</v>
      </c>
      <c r="I16" s="4">
        <v>253</v>
      </c>
      <c r="J16" s="4">
        <v>290</v>
      </c>
      <c r="K16" s="4">
        <v>327</v>
      </c>
      <c r="L16" s="4">
        <v>366</v>
      </c>
      <c r="M16" s="4">
        <v>407</v>
      </c>
    </row>
    <row r="17" spans="1:13" ht="15.75" thickBot="1" x14ac:dyDescent="0.3">
      <c r="A17" s="5">
        <v>300</v>
      </c>
      <c r="B17" s="4">
        <v>34</v>
      </c>
      <c r="C17" s="4">
        <v>70</v>
      </c>
      <c r="D17" s="4">
        <v>103</v>
      </c>
      <c r="E17" s="4">
        <v>136</v>
      </c>
      <c r="F17" s="4">
        <v>170</v>
      </c>
      <c r="G17" s="4">
        <v>205</v>
      </c>
      <c r="H17" s="4">
        <v>241</v>
      </c>
      <c r="I17" s="4">
        <v>279</v>
      </c>
      <c r="J17" s="4">
        <v>319</v>
      </c>
      <c r="K17" s="4">
        <v>359</v>
      </c>
      <c r="L17" s="4">
        <v>402</v>
      </c>
      <c r="M17" s="4">
        <v>446</v>
      </c>
    </row>
    <row r="18" spans="1:13" ht="15.75" thickBot="1" x14ac:dyDescent="0.3">
      <c r="A18" s="5">
        <v>350</v>
      </c>
      <c r="B18" s="4">
        <v>38</v>
      </c>
      <c r="C18" s="4">
        <v>77</v>
      </c>
      <c r="D18" s="4">
        <v>113</v>
      </c>
      <c r="E18" s="4">
        <v>149</v>
      </c>
      <c r="F18" s="4">
        <v>186</v>
      </c>
      <c r="G18" s="4">
        <v>224</v>
      </c>
      <c r="H18" s="4">
        <v>263</v>
      </c>
      <c r="I18" s="4">
        <v>304</v>
      </c>
      <c r="J18" s="4">
        <v>347</v>
      </c>
      <c r="K18" s="4">
        <v>391</v>
      </c>
      <c r="L18" s="4">
        <v>436</v>
      </c>
      <c r="M18" s="4">
        <v>483</v>
      </c>
    </row>
    <row r="19" spans="1:13" ht="15.75" thickBot="1" x14ac:dyDescent="0.3">
      <c r="A19" s="5">
        <v>400</v>
      </c>
      <c r="B19" s="4">
        <v>42</v>
      </c>
      <c r="C19" s="4">
        <v>85</v>
      </c>
      <c r="D19" s="4">
        <v>123</v>
      </c>
      <c r="E19" s="4">
        <v>162</v>
      </c>
      <c r="F19" s="4">
        <v>201</v>
      </c>
      <c r="G19" s="4">
        <v>242</v>
      </c>
      <c r="H19" s="4">
        <v>284</v>
      </c>
      <c r="I19" s="4">
        <v>328</v>
      </c>
      <c r="J19" s="4">
        <v>373</v>
      </c>
      <c r="K19" s="4">
        <v>419</v>
      </c>
      <c r="L19" s="4">
        <v>467</v>
      </c>
      <c r="M19" s="4">
        <v>517</v>
      </c>
    </row>
    <row r="20" spans="1:13" ht="15.75" thickBot="1" x14ac:dyDescent="0.3">
      <c r="A20" s="5">
        <v>450</v>
      </c>
      <c r="B20" s="4">
        <v>46</v>
      </c>
      <c r="C20" s="4">
        <v>92</v>
      </c>
      <c r="D20" s="4">
        <v>134</v>
      </c>
      <c r="E20" s="4">
        <v>175</v>
      </c>
      <c r="F20" s="4">
        <v>217</v>
      </c>
      <c r="G20" s="4">
        <v>260</v>
      </c>
      <c r="H20" s="4">
        <v>305</v>
      </c>
      <c r="I20" s="4">
        <v>351</v>
      </c>
      <c r="J20" s="4">
        <v>398</v>
      </c>
      <c r="K20" s="4">
        <v>448</v>
      </c>
      <c r="L20" s="4">
        <v>498</v>
      </c>
      <c r="M20" s="4">
        <v>551</v>
      </c>
    </row>
    <row r="21" spans="1:13" ht="15.75" thickBot="1" x14ac:dyDescent="0.3">
      <c r="A21" s="5">
        <v>500</v>
      </c>
      <c r="B21" s="4">
        <v>51</v>
      </c>
      <c r="C21" s="4">
        <v>100</v>
      </c>
      <c r="D21" s="4">
        <v>144</v>
      </c>
      <c r="E21" s="4">
        <v>189</v>
      </c>
      <c r="F21" s="4">
        <v>233</v>
      </c>
      <c r="G21" s="4">
        <v>279</v>
      </c>
      <c r="H21" s="4">
        <v>327</v>
      </c>
      <c r="I21" s="4">
        <v>375</v>
      </c>
      <c r="J21" s="4">
        <v>426</v>
      </c>
      <c r="K21" s="4">
        <v>478</v>
      </c>
      <c r="L21" s="4">
        <v>532</v>
      </c>
      <c r="M21" s="4">
        <v>587</v>
      </c>
    </row>
    <row r="22" spans="1:13" ht="15.75" thickBot="1" x14ac:dyDescent="0.3">
      <c r="A22" s="5">
        <v>600</v>
      </c>
      <c r="B22" s="4">
        <v>58</v>
      </c>
      <c r="C22" s="4">
        <v>114</v>
      </c>
      <c r="D22" s="4">
        <v>164</v>
      </c>
      <c r="E22" s="4">
        <v>214</v>
      </c>
      <c r="F22" s="4">
        <v>263</v>
      </c>
      <c r="G22" s="4">
        <v>314</v>
      </c>
      <c r="H22" s="4">
        <v>367</v>
      </c>
      <c r="I22" s="4">
        <v>420</v>
      </c>
      <c r="J22" s="4">
        <v>476</v>
      </c>
      <c r="K22" s="4">
        <v>533</v>
      </c>
      <c r="L22" s="4">
        <v>592</v>
      </c>
      <c r="M22" s="4">
        <v>652</v>
      </c>
    </row>
    <row r="23" spans="1:13" ht="15.75" thickBot="1" x14ac:dyDescent="0.3">
      <c r="A23" s="5">
        <v>700</v>
      </c>
      <c r="B23" s="4">
        <v>65</v>
      </c>
      <c r="C23" s="4">
        <v>127</v>
      </c>
      <c r="D23" s="4">
        <v>182</v>
      </c>
      <c r="E23" s="4">
        <v>236</v>
      </c>
      <c r="F23" s="4">
        <v>290</v>
      </c>
      <c r="G23" s="4">
        <v>345</v>
      </c>
      <c r="H23" s="4">
        <v>402</v>
      </c>
      <c r="I23" s="4">
        <v>460</v>
      </c>
      <c r="J23" s="4">
        <v>520</v>
      </c>
      <c r="K23" s="4">
        <v>582</v>
      </c>
      <c r="L23" s="4">
        <v>645</v>
      </c>
      <c r="M23" s="4">
        <v>710</v>
      </c>
    </row>
    <row r="24" spans="1:13" ht="15.75" thickBot="1" x14ac:dyDescent="0.3">
      <c r="A24" s="5">
        <v>800</v>
      </c>
      <c r="B24" s="4">
        <v>73</v>
      </c>
      <c r="C24" s="4">
        <v>141</v>
      </c>
      <c r="D24" s="4">
        <v>202</v>
      </c>
      <c r="E24" s="4">
        <v>261</v>
      </c>
      <c r="F24" s="4">
        <v>320</v>
      </c>
      <c r="G24" s="4">
        <v>379</v>
      </c>
      <c r="H24" s="4">
        <v>441</v>
      </c>
      <c r="I24" s="4">
        <v>504</v>
      </c>
      <c r="J24" s="4">
        <v>568</v>
      </c>
      <c r="K24" s="4">
        <v>635</v>
      </c>
      <c r="L24" s="4">
        <v>703</v>
      </c>
      <c r="M24" s="4">
        <v>772</v>
      </c>
    </row>
    <row r="25" spans="1:13" ht="15.75" thickBot="1" x14ac:dyDescent="0.3">
      <c r="A25" s="5">
        <v>900</v>
      </c>
      <c r="B25" s="4">
        <v>81</v>
      </c>
      <c r="C25" s="4">
        <v>156</v>
      </c>
      <c r="D25" s="4">
        <v>221</v>
      </c>
      <c r="E25" s="4">
        <v>285</v>
      </c>
      <c r="F25" s="4">
        <v>349</v>
      </c>
      <c r="G25" s="4">
        <v>413</v>
      </c>
      <c r="H25" s="4">
        <v>479</v>
      </c>
      <c r="I25" s="4">
        <v>547</v>
      </c>
      <c r="J25" s="4">
        <v>616</v>
      </c>
      <c r="K25" s="4">
        <v>687</v>
      </c>
      <c r="L25" s="4">
        <v>760</v>
      </c>
      <c r="M25" s="4">
        <v>834</v>
      </c>
    </row>
    <row r="26" spans="1:13" ht="15.75" thickBot="1" x14ac:dyDescent="0.3">
      <c r="A26" s="5">
        <v>1000</v>
      </c>
      <c r="B26" s="4">
        <v>89</v>
      </c>
      <c r="C26" s="4">
        <v>170</v>
      </c>
      <c r="D26" s="4">
        <v>241</v>
      </c>
      <c r="E26" s="4">
        <v>309</v>
      </c>
      <c r="F26" s="4">
        <v>378</v>
      </c>
      <c r="G26" s="4">
        <v>447</v>
      </c>
      <c r="H26" s="4">
        <v>518</v>
      </c>
      <c r="I26" s="4">
        <v>590</v>
      </c>
      <c r="J26" s="4">
        <v>663</v>
      </c>
      <c r="K26" s="4">
        <v>739</v>
      </c>
      <c r="L26" s="4">
        <v>816</v>
      </c>
      <c r="M26" s="4">
        <v>896</v>
      </c>
    </row>
    <row r="27" spans="1:13" ht="15.75" thickBot="1" x14ac:dyDescent="0.3">
      <c r="A27" s="5">
        <v>1400</v>
      </c>
      <c r="B27" s="4">
        <v>120</v>
      </c>
      <c r="C27" s="4">
        <v>226</v>
      </c>
      <c r="D27" s="4">
        <v>318</v>
      </c>
      <c r="E27" s="4">
        <v>406</v>
      </c>
      <c r="F27" s="4">
        <v>492</v>
      </c>
      <c r="G27" s="4">
        <v>580</v>
      </c>
      <c r="H27" s="4">
        <v>668</v>
      </c>
      <c r="I27" s="4">
        <v>758</v>
      </c>
      <c r="J27" s="4">
        <v>850</v>
      </c>
      <c r="K27" s="4">
        <v>943</v>
      </c>
      <c r="L27" s="4">
        <v>1038</v>
      </c>
      <c r="M27" s="4">
        <v>1136</v>
      </c>
    </row>
  </sheetData>
  <mergeCells count="3">
    <mergeCell ref="A2:A4"/>
    <mergeCell ref="B2:M2"/>
    <mergeCell ref="B4:M4"/>
  </mergeCells>
  <phoneticPr fontId="1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M5"/>
  <sheetViews>
    <sheetView workbookViewId="0">
      <selection activeCell="B6" sqref="B6"/>
    </sheetView>
  </sheetViews>
  <sheetFormatPr defaultRowHeight="15" x14ac:dyDescent="0.25"/>
  <cols>
    <col min="1" max="1" width="11.85546875" customWidth="1"/>
  </cols>
  <sheetData>
    <row r="1" spans="1:13" ht="16.5" thickBot="1" x14ac:dyDescent="0.3">
      <c r="A1" s="6" t="s">
        <v>8</v>
      </c>
    </row>
    <row r="2" spans="1:13" ht="24.75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9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21" customHeight="1" thickBot="1" x14ac:dyDescent="0.3">
      <c r="A4" s="9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92"/>
      <c r="B5" s="4">
        <v>26</v>
      </c>
      <c r="C5" s="4">
        <v>46</v>
      </c>
      <c r="D5" s="4">
        <v>63</v>
      </c>
      <c r="E5" s="4">
        <v>78</v>
      </c>
      <c r="F5" s="4">
        <v>92</v>
      </c>
      <c r="G5" s="4">
        <v>105</v>
      </c>
      <c r="H5" s="4">
        <v>119</v>
      </c>
      <c r="I5" s="4">
        <v>132</v>
      </c>
      <c r="J5" s="4">
        <v>145</v>
      </c>
      <c r="K5" s="4">
        <v>158</v>
      </c>
      <c r="L5" s="4">
        <v>171</v>
      </c>
      <c r="M5" s="4">
        <v>190</v>
      </c>
    </row>
  </sheetData>
  <mergeCells count="3">
    <mergeCell ref="A2:A5"/>
    <mergeCell ref="B2:M2"/>
    <mergeCell ref="B4:M4"/>
  </mergeCells>
  <phoneticPr fontId="1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L20"/>
  <sheetViews>
    <sheetView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9</v>
      </c>
    </row>
    <row r="2" spans="1:12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5">
        <v>20</v>
      </c>
      <c r="B5" s="4">
        <v>3</v>
      </c>
      <c r="C5" s="4">
        <v>3</v>
      </c>
      <c r="D5" s="4">
        <v>4</v>
      </c>
      <c r="E5" s="4">
        <v>6</v>
      </c>
      <c r="F5" s="4">
        <v>7</v>
      </c>
      <c r="G5" s="4">
        <v>9</v>
      </c>
      <c r="H5" s="4">
        <v>10</v>
      </c>
      <c r="I5" s="4">
        <v>12</v>
      </c>
      <c r="J5" s="4">
        <v>14</v>
      </c>
      <c r="K5" s="4">
        <v>16</v>
      </c>
      <c r="L5" s="4">
        <v>17</v>
      </c>
    </row>
    <row r="6" spans="1:12" ht="15.75" thickBot="1" x14ac:dyDescent="0.3">
      <c r="A6" s="5">
        <v>25</v>
      </c>
      <c r="B6" s="4">
        <v>3</v>
      </c>
      <c r="C6" s="4">
        <v>4</v>
      </c>
      <c r="D6" s="4">
        <v>5</v>
      </c>
      <c r="E6" s="4">
        <v>6</v>
      </c>
      <c r="F6" s="4">
        <v>8</v>
      </c>
      <c r="G6" s="4">
        <v>9</v>
      </c>
      <c r="H6" s="4">
        <v>11</v>
      </c>
      <c r="I6" s="4">
        <v>12</v>
      </c>
      <c r="J6" s="4">
        <v>15</v>
      </c>
      <c r="K6" s="4">
        <v>17</v>
      </c>
      <c r="L6" s="4">
        <v>18</v>
      </c>
    </row>
    <row r="7" spans="1:12" ht="15.75" thickBot="1" x14ac:dyDescent="0.3">
      <c r="A7" s="5">
        <v>40</v>
      </c>
      <c r="B7" s="4">
        <v>4</v>
      </c>
      <c r="C7" s="4">
        <v>5</v>
      </c>
      <c r="D7" s="4">
        <v>5</v>
      </c>
      <c r="E7" s="4">
        <v>7</v>
      </c>
      <c r="F7" s="4">
        <v>9</v>
      </c>
      <c r="G7" s="4">
        <v>10</v>
      </c>
      <c r="H7" s="4">
        <v>12</v>
      </c>
      <c r="I7" s="4">
        <v>13</v>
      </c>
      <c r="J7" s="4">
        <v>16</v>
      </c>
      <c r="K7" s="4">
        <v>18</v>
      </c>
      <c r="L7" s="4">
        <v>19</v>
      </c>
    </row>
    <row r="8" spans="1:12" ht="15.75" thickBot="1" x14ac:dyDescent="0.3">
      <c r="A8" s="5">
        <v>50</v>
      </c>
      <c r="B8" s="4">
        <v>5</v>
      </c>
      <c r="C8" s="4">
        <v>5</v>
      </c>
      <c r="D8" s="4">
        <v>6</v>
      </c>
      <c r="E8" s="4">
        <v>8</v>
      </c>
      <c r="F8" s="4">
        <v>9</v>
      </c>
      <c r="G8" s="4">
        <v>11</v>
      </c>
      <c r="H8" s="4">
        <v>13</v>
      </c>
      <c r="I8" s="4">
        <v>14</v>
      </c>
      <c r="J8" s="4">
        <v>16</v>
      </c>
      <c r="K8" s="4">
        <v>19</v>
      </c>
      <c r="L8" s="4">
        <v>20</v>
      </c>
    </row>
    <row r="9" spans="1:12" ht="15.75" thickBot="1" x14ac:dyDescent="0.3">
      <c r="A9" s="5">
        <v>65</v>
      </c>
      <c r="B9" s="4">
        <v>6</v>
      </c>
      <c r="C9" s="4">
        <v>6</v>
      </c>
      <c r="D9" s="4">
        <v>7</v>
      </c>
      <c r="E9" s="4">
        <v>9</v>
      </c>
      <c r="F9" s="4">
        <v>10</v>
      </c>
      <c r="G9" s="4">
        <v>12</v>
      </c>
      <c r="H9" s="4">
        <v>14</v>
      </c>
      <c r="I9" s="4">
        <v>15</v>
      </c>
      <c r="J9" s="4">
        <v>17</v>
      </c>
      <c r="K9" s="4">
        <v>20</v>
      </c>
      <c r="L9" s="4">
        <v>21</v>
      </c>
    </row>
    <row r="10" spans="1:12" ht="15.75" thickBot="1" x14ac:dyDescent="0.3">
      <c r="A10" s="5">
        <v>80</v>
      </c>
      <c r="B10" s="4">
        <v>6</v>
      </c>
      <c r="C10" s="4">
        <v>6</v>
      </c>
      <c r="D10" s="4">
        <v>8</v>
      </c>
      <c r="E10" s="4">
        <v>10</v>
      </c>
      <c r="F10" s="4">
        <v>11</v>
      </c>
      <c r="G10" s="4">
        <v>13</v>
      </c>
      <c r="H10" s="4">
        <v>15</v>
      </c>
      <c r="I10" s="4">
        <v>16</v>
      </c>
      <c r="J10" s="4">
        <v>18</v>
      </c>
      <c r="K10" s="4">
        <v>21</v>
      </c>
      <c r="L10" s="4">
        <v>22</v>
      </c>
    </row>
    <row r="11" spans="1:12" ht="15.75" thickBot="1" x14ac:dyDescent="0.3">
      <c r="A11" s="5">
        <v>100</v>
      </c>
      <c r="B11" s="4">
        <v>7</v>
      </c>
      <c r="C11" s="4">
        <v>7</v>
      </c>
      <c r="D11" s="4">
        <v>9</v>
      </c>
      <c r="E11" s="4">
        <v>11</v>
      </c>
      <c r="F11" s="4">
        <v>13</v>
      </c>
      <c r="G11" s="4">
        <v>14</v>
      </c>
      <c r="H11" s="4">
        <v>17</v>
      </c>
      <c r="I11" s="4">
        <v>18</v>
      </c>
      <c r="J11" s="4">
        <v>20</v>
      </c>
      <c r="K11" s="4">
        <v>22</v>
      </c>
      <c r="L11" s="4">
        <v>23</v>
      </c>
    </row>
    <row r="12" spans="1:12" ht="15.75" thickBot="1" x14ac:dyDescent="0.3">
      <c r="A12" s="5">
        <v>125</v>
      </c>
      <c r="B12" s="4">
        <v>8</v>
      </c>
      <c r="C12" s="4">
        <v>8</v>
      </c>
      <c r="D12" s="4">
        <v>9</v>
      </c>
      <c r="E12" s="4">
        <v>12</v>
      </c>
      <c r="F12" s="4">
        <v>14</v>
      </c>
      <c r="G12" s="4">
        <v>16</v>
      </c>
      <c r="H12" s="4">
        <v>18</v>
      </c>
      <c r="I12" s="4">
        <v>20</v>
      </c>
      <c r="J12" s="4">
        <v>21</v>
      </c>
      <c r="K12" s="4">
        <v>23</v>
      </c>
      <c r="L12" s="4">
        <v>25</v>
      </c>
    </row>
    <row r="13" spans="1:12" ht="15.75" thickBot="1" x14ac:dyDescent="0.3">
      <c r="A13" s="5">
        <v>150</v>
      </c>
      <c r="B13" s="4">
        <v>8</v>
      </c>
      <c r="C13" s="4">
        <v>9</v>
      </c>
      <c r="D13" s="4">
        <v>10</v>
      </c>
      <c r="E13" s="4">
        <v>13</v>
      </c>
      <c r="F13" s="4">
        <v>16</v>
      </c>
      <c r="G13" s="4">
        <v>17</v>
      </c>
      <c r="H13" s="4">
        <v>20</v>
      </c>
      <c r="I13" s="4">
        <v>21</v>
      </c>
      <c r="J13" s="4">
        <v>23</v>
      </c>
      <c r="K13" s="4">
        <v>25</v>
      </c>
      <c r="L13" s="4">
        <v>27</v>
      </c>
    </row>
    <row r="14" spans="1:12" ht="15.75" thickBot="1" x14ac:dyDescent="0.3">
      <c r="A14" s="5">
        <v>200</v>
      </c>
      <c r="B14" s="4">
        <v>10</v>
      </c>
      <c r="C14" s="4">
        <v>10</v>
      </c>
      <c r="D14" s="4">
        <v>12</v>
      </c>
      <c r="E14" s="4">
        <v>16</v>
      </c>
      <c r="F14" s="4">
        <v>18</v>
      </c>
      <c r="G14" s="4">
        <v>20</v>
      </c>
      <c r="H14" s="4">
        <v>23</v>
      </c>
      <c r="I14" s="4">
        <v>25</v>
      </c>
      <c r="J14" s="4">
        <v>27</v>
      </c>
      <c r="K14" s="4">
        <v>29</v>
      </c>
      <c r="L14" s="4">
        <v>31</v>
      </c>
    </row>
    <row r="15" spans="1:12" ht="15.75" thickBot="1" x14ac:dyDescent="0.3">
      <c r="A15" s="5">
        <v>250</v>
      </c>
      <c r="B15" s="4">
        <v>11</v>
      </c>
      <c r="C15" s="4">
        <v>12</v>
      </c>
      <c r="D15" s="4">
        <v>14</v>
      </c>
      <c r="E15" s="4">
        <v>18</v>
      </c>
      <c r="F15" s="4">
        <v>20</v>
      </c>
      <c r="G15" s="4">
        <v>23</v>
      </c>
      <c r="H15" s="4">
        <v>26</v>
      </c>
      <c r="I15" s="4">
        <v>27</v>
      </c>
      <c r="J15" s="4">
        <v>30</v>
      </c>
      <c r="K15" s="4">
        <v>33</v>
      </c>
      <c r="L15" s="4">
        <v>35</v>
      </c>
    </row>
    <row r="16" spans="1:12" ht="15.75" thickBot="1" x14ac:dyDescent="0.3">
      <c r="A16" s="5">
        <v>300</v>
      </c>
      <c r="B16" s="4">
        <v>12</v>
      </c>
      <c r="C16" s="4">
        <v>13</v>
      </c>
      <c r="D16" s="4">
        <v>16</v>
      </c>
      <c r="E16" s="4">
        <v>20</v>
      </c>
      <c r="F16" s="4">
        <v>23</v>
      </c>
      <c r="G16" s="4">
        <v>25</v>
      </c>
      <c r="H16" s="4">
        <v>28</v>
      </c>
      <c r="I16" s="4">
        <v>30</v>
      </c>
      <c r="J16" s="4">
        <v>34</v>
      </c>
      <c r="K16" s="4">
        <v>36</v>
      </c>
      <c r="L16" s="4">
        <v>39</v>
      </c>
    </row>
    <row r="17" spans="1:12" ht="15.75" thickBot="1" x14ac:dyDescent="0.3">
      <c r="A17" s="5">
        <v>350</v>
      </c>
      <c r="B17" s="4">
        <v>14</v>
      </c>
      <c r="C17" s="4">
        <v>15</v>
      </c>
      <c r="D17" s="4">
        <v>18</v>
      </c>
      <c r="E17" s="4">
        <v>22</v>
      </c>
      <c r="F17" s="4">
        <v>24</v>
      </c>
      <c r="G17" s="4">
        <v>27</v>
      </c>
      <c r="H17" s="4">
        <v>30</v>
      </c>
      <c r="I17" s="4">
        <v>33</v>
      </c>
      <c r="J17" s="4">
        <v>36</v>
      </c>
      <c r="K17" s="4">
        <v>38</v>
      </c>
      <c r="L17" s="4">
        <v>41</v>
      </c>
    </row>
    <row r="18" spans="1:12" ht="15.75" thickBot="1" x14ac:dyDescent="0.3">
      <c r="A18" s="5">
        <v>400</v>
      </c>
      <c r="B18" s="4">
        <v>16</v>
      </c>
      <c r="C18" s="4">
        <v>16</v>
      </c>
      <c r="D18" s="4">
        <v>2</v>
      </c>
      <c r="E18" s="4">
        <v>23</v>
      </c>
      <c r="F18" s="4">
        <v>26</v>
      </c>
      <c r="G18" s="4">
        <v>29</v>
      </c>
      <c r="H18" s="4">
        <v>32</v>
      </c>
      <c r="I18" s="4">
        <v>34</v>
      </c>
      <c r="J18" s="4">
        <v>38</v>
      </c>
      <c r="K18" s="4">
        <v>40</v>
      </c>
      <c r="L18" s="4">
        <v>43</v>
      </c>
    </row>
    <row r="19" spans="1:12" ht="15.75" thickBot="1" x14ac:dyDescent="0.3">
      <c r="A19" s="5">
        <v>450</v>
      </c>
      <c r="B19" s="4">
        <v>17</v>
      </c>
      <c r="C19" s="4">
        <v>18</v>
      </c>
      <c r="D19" s="4">
        <v>21</v>
      </c>
      <c r="E19" s="4">
        <v>26</v>
      </c>
      <c r="F19" s="4">
        <v>28</v>
      </c>
      <c r="G19" s="4">
        <v>31</v>
      </c>
      <c r="H19" s="4">
        <v>34</v>
      </c>
      <c r="I19" s="4">
        <v>37</v>
      </c>
      <c r="J19" s="4">
        <v>39</v>
      </c>
      <c r="K19" s="4">
        <v>42</v>
      </c>
      <c r="L19" s="4">
        <v>45</v>
      </c>
    </row>
    <row r="20" spans="1:12" ht="15.75" thickBot="1" x14ac:dyDescent="0.3">
      <c r="A20" s="5">
        <v>500</v>
      </c>
      <c r="B20" s="4">
        <v>19</v>
      </c>
      <c r="C20" s="4">
        <v>21</v>
      </c>
      <c r="D20" s="4">
        <v>23</v>
      </c>
      <c r="E20" s="4">
        <v>27</v>
      </c>
      <c r="F20" s="4">
        <v>30</v>
      </c>
      <c r="G20" s="4">
        <v>33</v>
      </c>
      <c r="H20" s="4">
        <v>36</v>
      </c>
      <c r="I20" s="4">
        <v>38</v>
      </c>
      <c r="J20" s="4">
        <v>41</v>
      </c>
      <c r="K20" s="4">
        <v>44</v>
      </c>
      <c r="L20" s="4">
        <v>46</v>
      </c>
    </row>
  </sheetData>
  <mergeCells count="3">
    <mergeCell ref="A2:A4"/>
    <mergeCell ref="B2:L2"/>
    <mergeCell ref="B4:L4"/>
  </mergeCells>
  <phoneticPr fontId="1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L5"/>
  <sheetViews>
    <sheetView workbookViewId="0">
      <selection activeCell="L15" sqref="L15"/>
    </sheetView>
  </sheetViews>
  <sheetFormatPr defaultRowHeight="15" x14ac:dyDescent="0.25"/>
  <cols>
    <col min="1" max="1" width="13" customWidth="1"/>
  </cols>
  <sheetData>
    <row r="1" spans="1:12" ht="16.5" thickBot="1" x14ac:dyDescent="0.3">
      <c r="A1" s="6" t="s">
        <v>9</v>
      </c>
    </row>
    <row r="2" spans="1:12" ht="28.5" customHeight="1" thickBot="1" x14ac:dyDescent="0.3">
      <c r="A2" s="80"/>
      <c r="B2" s="78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23.25" customHeight="1" thickBot="1" x14ac:dyDescent="0.3">
      <c r="A4" s="8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82"/>
      <c r="B5" s="4">
        <v>11</v>
      </c>
      <c r="C5" s="4">
        <v>12</v>
      </c>
      <c r="D5" s="4">
        <v>12</v>
      </c>
      <c r="E5" s="4">
        <v>13</v>
      </c>
      <c r="F5" s="4">
        <v>14</v>
      </c>
      <c r="G5" s="4">
        <v>15</v>
      </c>
      <c r="H5" s="4">
        <v>15</v>
      </c>
      <c r="I5" s="4">
        <v>16</v>
      </c>
      <c r="J5" s="4">
        <v>17</v>
      </c>
      <c r="K5" s="4">
        <v>18</v>
      </c>
      <c r="L5" s="4">
        <v>19</v>
      </c>
    </row>
  </sheetData>
  <mergeCells count="3">
    <mergeCell ref="B2:L2"/>
    <mergeCell ref="B4:L4"/>
    <mergeCell ref="A2:A5"/>
  </mergeCells>
  <phoneticPr fontId="1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L5"/>
  <sheetViews>
    <sheetView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10</v>
      </c>
    </row>
    <row r="2" spans="1:12" ht="15.75" thickBot="1" x14ac:dyDescent="0.3">
      <c r="A2" s="80"/>
      <c r="B2" s="78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82"/>
      <c r="B5" s="4">
        <v>15</v>
      </c>
      <c r="C5" s="4">
        <v>16</v>
      </c>
      <c r="D5" s="4">
        <v>17</v>
      </c>
      <c r="E5" s="4">
        <v>18</v>
      </c>
      <c r="F5" s="4">
        <v>19</v>
      </c>
      <c r="G5" s="4">
        <v>19</v>
      </c>
      <c r="H5" s="4">
        <v>20</v>
      </c>
      <c r="I5" s="4">
        <v>21</v>
      </c>
      <c r="J5" s="4">
        <v>22</v>
      </c>
      <c r="K5" s="4">
        <v>22</v>
      </c>
      <c r="L5" s="4">
        <v>23</v>
      </c>
    </row>
  </sheetData>
  <mergeCells count="3">
    <mergeCell ref="A2:A5"/>
    <mergeCell ref="B2:L2"/>
    <mergeCell ref="B4:L4"/>
  </mergeCells>
  <phoneticPr fontId="1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D95"/>
  <sheetViews>
    <sheetView workbookViewId="0">
      <selection activeCell="E5" sqref="E5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1014</v>
      </c>
      <c r="B1" t="s">
        <v>1015</v>
      </c>
      <c r="C1" t="s">
        <v>1016</v>
      </c>
      <c r="D1" t="s">
        <v>1017</v>
      </c>
    </row>
    <row r="2" spans="1:4" x14ac:dyDescent="0.25">
      <c r="A2" t="s">
        <v>1018</v>
      </c>
      <c r="B2">
        <v>1</v>
      </c>
      <c r="C2" t="s">
        <v>1019</v>
      </c>
      <c r="D2" t="s">
        <v>1020</v>
      </c>
    </row>
    <row r="3" spans="1:4" x14ac:dyDescent="0.25">
      <c r="A3" t="s">
        <v>1021</v>
      </c>
      <c r="B3">
        <v>1</v>
      </c>
      <c r="C3" t="s">
        <v>1019</v>
      </c>
      <c r="D3" t="s">
        <v>1022</v>
      </c>
    </row>
    <row r="4" spans="1:4" x14ac:dyDescent="0.25">
      <c r="A4" t="s">
        <v>1023</v>
      </c>
      <c r="B4">
        <v>1500</v>
      </c>
      <c r="C4" t="s">
        <v>1024</v>
      </c>
      <c r="D4" t="s">
        <v>1025</v>
      </c>
    </row>
    <row r="5" spans="1:4" x14ac:dyDescent="0.25">
      <c r="A5" t="s">
        <v>1026</v>
      </c>
      <c r="B5">
        <v>60</v>
      </c>
      <c r="C5" t="s">
        <v>1024</v>
      </c>
      <c r="D5" t="s">
        <v>1027</v>
      </c>
    </row>
    <row r="6" spans="1:4" x14ac:dyDescent="0.25">
      <c r="A6" t="s">
        <v>1028</v>
      </c>
      <c r="B6">
        <v>0</v>
      </c>
      <c r="C6" t="s">
        <v>1019</v>
      </c>
      <c r="D6" t="s">
        <v>1029</v>
      </c>
    </row>
    <row r="7" spans="1:4" x14ac:dyDescent="0.25">
      <c r="A7" t="s">
        <v>1030</v>
      </c>
      <c r="B7">
        <v>12</v>
      </c>
      <c r="C7" t="s">
        <v>1024</v>
      </c>
      <c r="D7" t="s">
        <v>1031</v>
      </c>
    </row>
    <row r="9" spans="1:4" x14ac:dyDescent="0.25">
      <c r="A9" t="s">
        <v>1032</v>
      </c>
      <c r="B9">
        <v>1</v>
      </c>
      <c r="C9" t="s">
        <v>1019</v>
      </c>
      <c r="D9" t="s">
        <v>1033</v>
      </c>
    </row>
    <row r="10" spans="1:4" x14ac:dyDescent="0.25">
      <c r="A10" t="s">
        <v>1034</v>
      </c>
      <c r="B10">
        <v>4</v>
      </c>
      <c r="C10" t="s">
        <v>1019</v>
      </c>
      <c r="D10" t="s">
        <v>1035</v>
      </c>
    </row>
    <row r="11" spans="1:4" x14ac:dyDescent="0.25">
      <c r="A11" t="s">
        <v>1036</v>
      </c>
      <c r="B11">
        <v>5</v>
      </c>
      <c r="C11" t="s">
        <v>1019</v>
      </c>
      <c r="D11" t="s">
        <v>1037</v>
      </c>
    </row>
    <row r="12" spans="1:4" x14ac:dyDescent="0.25">
      <c r="A12" t="s">
        <v>1038</v>
      </c>
      <c r="B12">
        <v>5</v>
      </c>
      <c r="C12" t="s">
        <v>1024</v>
      </c>
      <c r="D12" t="s">
        <v>1039</v>
      </c>
    </row>
    <row r="14" spans="1:4" x14ac:dyDescent="0.25">
      <c r="A14" t="s">
        <v>1040</v>
      </c>
      <c r="B14">
        <v>1</v>
      </c>
      <c r="C14" t="s">
        <v>1041</v>
      </c>
      <c r="D14" t="s">
        <v>1042</v>
      </c>
    </row>
    <row r="15" spans="1:4" x14ac:dyDescent="0.25">
      <c r="A15" t="s">
        <v>1043</v>
      </c>
      <c r="B15">
        <v>2</v>
      </c>
      <c r="C15" t="s">
        <v>1019</v>
      </c>
      <c r="D15" t="s">
        <v>1044</v>
      </c>
    </row>
    <row r="16" spans="1:4" x14ac:dyDescent="0.25">
      <c r="A16" t="s">
        <v>1045</v>
      </c>
      <c r="B16">
        <v>1</v>
      </c>
      <c r="C16" t="s">
        <v>1019</v>
      </c>
      <c r="D16" t="s">
        <v>1046</v>
      </c>
    </row>
    <row r="17" spans="1:4" x14ac:dyDescent="0.25">
      <c r="A17" t="s">
        <v>1047</v>
      </c>
      <c r="B17">
        <v>1</v>
      </c>
      <c r="C17" t="s">
        <v>1041</v>
      </c>
      <c r="D17" t="s">
        <v>1048</v>
      </c>
    </row>
    <row r="18" spans="1:4" x14ac:dyDescent="0.25">
      <c r="A18" t="s">
        <v>1049</v>
      </c>
      <c r="B18">
        <v>20</v>
      </c>
      <c r="C18" t="s">
        <v>1024</v>
      </c>
      <c r="D18" t="s">
        <v>1050</v>
      </c>
    </row>
    <row r="19" spans="1:4" x14ac:dyDescent="0.25">
      <c r="A19" t="s">
        <v>1051</v>
      </c>
      <c r="B19">
        <v>0</v>
      </c>
      <c r="C19" t="s">
        <v>1041</v>
      </c>
      <c r="D19" t="s">
        <v>1052</v>
      </c>
    </row>
    <row r="20" spans="1:4" x14ac:dyDescent="0.25">
      <c r="A20" t="s">
        <v>1053</v>
      </c>
      <c r="B20">
        <v>20</v>
      </c>
      <c r="C20" t="s">
        <v>1024</v>
      </c>
      <c r="D20" t="s">
        <v>1054</v>
      </c>
    </row>
    <row r="21" spans="1:4" x14ac:dyDescent="0.25">
      <c r="A21" t="s">
        <v>1055</v>
      </c>
      <c r="B21">
        <v>3</v>
      </c>
      <c r="C21" t="s">
        <v>1024</v>
      </c>
      <c r="D21" t="s">
        <v>1056</v>
      </c>
    </row>
    <row r="23" spans="1:4" x14ac:dyDescent="0.25">
      <c r="A23" t="s">
        <v>1306</v>
      </c>
      <c r="B23">
        <v>3</v>
      </c>
      <c r="C23" t="s">
        <v>1304</v>
      </c>
      <c r="D23" t="s">
        <v>1302</v>
      </c>
    </row>
    <row r="25" spans="1:4" x14ac:dyDescent="0.25">
      <c r="A25" t="s">
        <v>1057</v>
      </c>
    </row>
    <row r="26" spans="1:4" x14ac:dyDescent="0.25">
      <c r="A26" t="s">
        <v>1058</v>
      </c>
      <c r="B26">
        <v>2</v>
      </c>
      <c r="C26" t="s">
        <v>1019</v>
      </c>
      <c r="D26" t="s">
        <v>1059</v>
      </c>
    </row>
    <row r="27" spans="1:4" x14ac:dyDescent="0.25">
      <c r="A27" t="s">
        <v>1060</v>
      </c>
      <c r="C27" t="s">
        <v>1061</v>
      </c>
      <c r="D27" t="s">
        <v>1062</v>
      </c>
    </row>
    <row r="28" spans="1:4" x14ac:dyDescent="0.25">
      <c r="A28" t="s">
        <v>1063</v>
      </c>
      <c r="B28" t="s">
        <v>1064</v>
      </c>
      <c r="C28" t="s">
        <v>1024</v>
      </c>
      <c r="D28" t="s">
        <v>1065</v>
      </c>
    </row>
    <row r="29" spans="1:4" x14ac:dyDescent="0.25">
      <c r="A29" t="s">
        <v>1066</v>
      </c>
      <c r="B29" t="s">
        <v>1064</v>
      </c>
      <c r="C29" t="s">
        <v>1024</v>
      </c>
      <c r="D29" t="s">
        <v>1067</v>
      </c>
    </row>
    <row r="30" spans="1:4" x14ac:dyDescent="0.25">
      <c r="A30" t="s">
        <v>1068</v>
      </c>
      <c r="B30" t="s">
        <v>1064</v>
      </c>
      <c r="C30" t="s">
        <v>1024</v>
      </c>
      <c r="D30" t="s">
        <v>1069</v>
      </c>
    </row>
    <row r="31" spans="1:4" x14ac:dyDescent="0.25">
      <c r="A31" t="s">
        <v>1070</v>
      </c>
      <c r="B31" t="s">
        <v>1064</v>
      </c>
      <c r="C31" t="s">
        <v>1024</v>
      </c>
      <c r="D31" t="s">
        <v>1071</v>
      </c>
    </row>
    <row r="32" spans="1:4" x14ac:dyDescent="0.25">
      <c r="A32" t="s">
        <v>1072</v>
      </c>
      <c r="B32" t="s">
        <v>1064</v>
      </c>
      <c r="C32" t="s">
        <v>1024</v>
      </c>
      <c r="D32" t="s">
        <v>1073</v>
      </c>
    </row>
    <row r="34" spans="1:4" x14ac:dyDescent="0.25">
      <c r="A34" t="s">
        <v>1074</v>
      </c>
    </row>
    <row r="35" spans="1:4" x14ac:dyDescent="0.25">
      <c r="A35" t="s">
        <v>1075</v>
      </c>
      <c r="B35">
        <v>4</v>
      </c>
      <c r="C35" t="s">
        <v>1019</v>
      </c>
      <c r="D35" t="s">
        <v>1059</v>
      </c>
    </row>
    <row r="36" spans="1:4" x14ac:dyDescent="0.25">
      <c r="A36" t="s">
        <v>1076</v>
      </c>
      <c r="B36">
        <v>20</v>
      </c>
      <c r="C36" t="s">
        <v>1024</v>
      </c>
      <c r="D36" t="s">
        <v>1077</v>
      </c>
    </row>
    <row r="37" spans="1:4" x14ac:dyDescent="0.25">
      <c r="A37" t="s">
        <v>1078</v>
      </c>
      <c r="B37">
        <v>50</v>
      </c>
      <c r="C37" t="s">
        <v>1024</v>
      </c>
      <c r="D37" t="s">
        <v>1079</v>
      </c>
    </row>
    <row r="38" spans="1:4" x14ac:dyDescent="0.25">
      <c r="A38" t="s">
        <v>1080</v>
      </c>
      <c r="C38" t="s">
        <v>1061</v>
      </c>
      <c r="D38" t="s">
        <v>1062</v>
      </c>
    </row>
    <row r="39" spans="1:4" x14ac:dyDescent="0.25">
      <c r="A39" t="s">
        <v>1081</v>
      </c>
      <c r="B39" t="s">
        <v>1064</v>
      </c>
      <c r="C39" t="s">
        <v>1024</v>
      </c>
      <c r="D39" t="s">
        <v>1082</v>
      </c>
    </row>
    <row r="40" spans="1:4" x14ac:dyDescent="0.25">
      <c r="A40" t="s">
        <v>1083</v>
      </c>
      <c r="B40" t="s">
        <v>1064</v>
      </c>
      <c r="C40" t="s">
        <v>1024</v>
      </c>
      <c r="D40" t="s">
        <v>1084</v>
      </c>
    </row>
    <row r="41" spans="1:4" x14ac:dyDescent="0.25">
      <c r="A41" t="s">
        <v>1085</v>
      </c>
      <c r="B41" t="s">
        <v>1064</v>
      </c>
      <c r="C41" t="s">
        <v>1024</v>
      </c>
      <c r="D41" t="s">
        <v>1086</v>
      </c>
    </row>
    <row r="42" spans="1:4" x14ac:dyDescent="0.25">
      <c r="A42" t="s">
        <v>1087</v>
      </c>
      <c r="B42" t="s">
        <v>1064</v>
      </c>
      <c r="C42" t="s">
        <v>1024</v>
      </c>
      <c r="D42" t="s">
        <v>1088</v>
      </c>
    </row>
    <row r="43" spans="1:4" x14ac:dyDescent="0.25">
      <c r="A43" t="s">
        <v>1089</v>
      </c>
      <c r="B43" t="s">
        <v>1064</v>
      </c>
      <c r="C43" t="s">
        <v>1024</v>
      </c>
      <c r="D43" t="s">
        <v>1090</v>
      </c>
    </row>
    <row r="44" spans="1:4" x14ac:dyDescent="0.25">
      <c r="A44" t="s">
        <v>1091</v>
      </c>
      <c r="B44" t="s">
        <v>1064</v>
      </c>
      <c r="C44" t="s">
        <v>1024</v>
      </c>
      <c r="D44" t="s">
        <v>1092</v>
      </c>
    </row>
    <row r="46" spans="1:4" x14ac:dyDescent="0.25">
      <c r="A46" t="s">
        <v>1093</v>
      </c>
    </row>
    <row r="47" spans="1:4" x14ac:dyDescent="0.25">
      <c r="A47" t="s">
        <v>1094</v>
      </c>
      <c r="B47">
        <v>3</v>
      </c>
      <c r="C47" t="s">
        <v>1019</v>
      </c>
      <c r="D47" t="s">
        <v>1059</v>
      </c>
    </row>
    <row r="48" spans="1:4" x14ac:dyDescent="0.25">
      <c r="A48" t="s">
        <v>1095</v>
      </c>
      <c r="C48" t="s">
        <v>1061</v>
      </c>
      <c r="D48" t="s">
        <v>1062</v>
      </c>
    </row>
    <row r="49" spans="1:4" x14ac:dyDescent="0.25">
      <c r="A49" t="s">
        <v>1096</v>
      </c>
      <c r="B49" t="s">
        <v>1064</v>
      </c>
      <c r="C49" t="s">
        <v>1024</v>
      </c>
      <c r="D49" t="s">
        <v>1065</v>
      </c>
    </row>
    <row r="50" spans="1:4" x14ac:dyDescent="0.25">
      <c r="A50" t="s">
        <v>1097</v>
      </c>
      <c r="B50" t="s">
        <v>1064</v>
      </c>
      <c r="C50" t="s">
        <v>1024</v>
      </c>
      <c r="D50" t="s">
        <v>1067</v>
      </c>
    </row>
    <row r="51" spans="1:4" x14ac:dyDescent="0.25">
      <c r="A51" t="s">
        <v>1098</v>
      </c>
      <c r="B51" t="s">
        <v>1064</v>
      </c>
      <c r="C51" t="s">
        <v>1024</v>
      </c>
      <c r="D51" t="s">
        <v>1071</v>
      </c>
    </row>
    <row r="52" spans="1:4" x14ac:dyDescent="0.25">
      <c r="A52" t="s">
        <v>1099</v>
      </c>
      <c r="B52" t="s">
        <v>1064</v>
      </c>
      <c r="C52" t="s">
        <v>1024</v>
      </c>
      <c r="D52" t="s">
        <v>1100</v>
      </c>
    </row>
    <row r="53" spans="1:4" x14ac:dyDescent="0.25">
      <c r="A53" t="s">
        <v>1101</v>
      </c>
      <c r="B53" t="s">
        <v>1064</v>
      </c>
      <c r="C53" t="s">
        <v>1024</v>
      </c>
      <c r="D53" t="s">
        <v>1102</v>
      </c>
    </row>
    <row r="55" spans="1:4" x14ac:dyDescent="0.25">
      <c r="A55" t="s">
        <v>1103</v>
      </c>
    </row>
    <row r="56" spans="1:4" x14ac:dyDescent="0.25">
      <c r="A56" t="s">
        <v>1104</v>
      </c>
      <c r="B56">
        <v>3</v>
      </c>
      <c r="C56" t="s">
        <v>1019</v>
      </c>
      <c r="D56" t="s">
        <v>1059</v>
      </c>
    </row>
    <row r="57" spans="1:4" x14ac:dyDescent="0.25">
      <c r="A57" t="s">
        <v>1105</v>
      </c>
      <c r="B57">
        <v>50</v>
      </c>
      <c r="C57" t="s">
        <v>1024</v>
      </c>
      <c r="D57" t="s">
        <v>1106</v>
      </c>
    </row>
    <row r="58" spans="1:4" x14ac:dyDescent="0.25">
      <c r="A58" t="s">
        <v>1107</v>
      </c>
      <c r="C58" t="s">
        <v>1061</v>
      </c>
      <c r="D58" t="s">
        <v>1062</v>
      </c>
    </row>
    <row r="59" spans="1:4" x14ac:dyDescent="0.25">
      <c r="A59" t="s">
        <v>1108</v>
      </c>
      <c r="B59" t="s">
        <v>1064</v>
      </c>
      <c r="C59" t="s">
        <v>1024</v>
      </c>
      <c r="D59" t="s">
        <v>1065</v>
      </c>
    </row>
    <row r="60" spans="1:4" x14ac:dyDescent="0.25">
      <c r="A60" t="s">
        <v>1109</v>
      </c>
      <c r="B60" t="s">
        <v>1064</v>
      </c>
      <c r="C60" t="s">
        <v>1024</v>
      </c>
      <c r="D60" t="s">
        <v>1067</v>
      </c>
    </row>
    <row r="61" spans="1:4" x14ac:dyDescent="0.25">
      <c r="A61" t="s">
        <v>1110</v>
      </c>
      <c r="B61" t="s">
        <v>1064</v>
      </c>
      <c r="C61" t="s">
        <v>1024</v>
      </c>
      <c r="D61" t="s">
        <v>1111</v>
      </c>
    </row>
    <row r="62" spans="1:4" x14ac:dyDescent="0.25">
      <c r="A62" t="s">
        <v>1112</v>
      </c>
      <c r="B62" t="s">
        <v>1064</v>
      </c>
      <c r="C62" t="s">
        <v>1024</v>
      </c>
      <c r="D62" t="s">
        <v>1100</v>
      </c>
    </row>
    <row r="63" spans="1:4" x14ac:dyDescent="0.25">
      <c r="A63" t="s">
        <v>1113</v>
      </c>
      <c r="B63" t="s">
        <v>1064</v>
      </c>
      <c r="C63" t="s">
        <v>1024</v>
      </c>
      <c r="D63" t="s">
        <v>1114</v>
      </c>
    </row>
    <row r="65" spans="1:4" x14ac:dyDescent="0.25">
      <c r="A65" t="s">
        <v>142</v>
      </c>
    </row>
    <row r="66" spans="1:4" x14ac:dyDescent="0.25">
      <c r="A66" t="s">
        <v>1115</v>
      </c>
      <c r="B66">
        <v>1</v>
      </c>
      <c r="C66" t="s">
        <v>1019</v>
      </c>
      <c r="D66" t="s">
        <v>1059</v>
      </c>
    </row>
    <row r="67" spans="1:4" x14ac:dyDescent="0.25">
      <c r="A67" t="s">
        <v>1116</v>
      </c>
      <c r="B67">
        <v>70</v>
      </c>
      <c r="C67" t="s">
        <v>1024</v>
      </c>
      <c r="D67" t="s">
        <v>1106</v>
      </c>
    </row>
    <row r="68" spans="1:4" x14ac:dyDescent="0.25">
      <c r="A68" t="s">
        <v>1117</v>
      </c>
      <c r="C68" t="s">
        <v>1061</v>
      </c>
      <c r="D68" t="s">
        <v>1062</v>
      </c>
    </row>
    <row r="69" spans="1:4" x14ac:dyDescent="0.25">
      <c r="A69" t="s">
        <v>1118</v>
      </c>
      <c r="B69" t="s">
        <v>1064</v>
      </c>
      <c r="C69" t="s">
        <v>1024</v>
      </c>
      <c r="D69" t="s">
        <v>1065</v>
      </c>
    </row>
    <row r="70" spans="1:4" x14ac:dyDescent="0.25">
      <c r="A70" t="s">
        <v>1119</v>
      </c>
      <c r="B70" t="s">
        <v>1064</v>
      </c>
      <c r="C70" t="s">
        <v>1024</v>
      </c>
      <c r="D70" t="s">
        <v>1067</v>
      </c>
    </row>
    <row r="71" spans="1:4" x14ac:dyDescent="0.25">
      <c r="A71" t="s">
        <v>1120</v>
      </c>
      <c r="B71" t="s">
        <v>1064</v>
      </c>
      <c r="C71" t="s">
        <v>1024</v>
      </c>
      <c r="D71" t="s">
        <v>1121</v>
      </c>
    </row>
    <row r="72" spans="1:4" x14ac:dyDescent="0.25">
      <c r="A72" t="s">
        <v>1122</v>
      </c>
      <c r="B72" t="s">
        <v>1064</v>
      </c>
      <c r="C72" t="s">
        <v>1024</v>
      </c>
      <c r="D72" t="s">
        <v>1100</v>
      </c>
    </row>
    <row r="73" spans="1:4" x14ac:dyDescent="0.25">
      <c r="A73" t="s">
        <v>1123</v>
      </c>
      <c r="B73" t="s">
        <v>1064</v>
      </c>
      <c r="C73" t="s">
        <v>1024</v>
      </c>
      <c r="D73" t="s">
        <v>1102</v>
      </c>
    </row>
    <row r="74" spans="1:4" x14ac:dyDescent="0.25">
      <c r="A74" t="s">
        <v>1124</v>
      </c>
      <c r="B74" t="s">
        <v>1064</v>
      </c>
      <c r="C74" t="s">
        <v>1024</v>
      </c>
      <c r="D74" t="s">
        <v>1125</v>
      </c>
    </row>
    <row r="76" spans="1:4" x14ac:dyDescent="0.25">
      <c r="A76" t="s">
        <v>1126</v>
      </c>
    </row>
    <row r="77" spans="1:4" x14ac:dyDescent="0.25">
      <c r="A77" t="s">
        <v>1127</v>
      </c>
      <c r="B77" t="s">
        <v>1329</v>
      </c>
      <c r="C77" t="s">
        <v>1019</v>
      </c>
      <c r="D77" t="s">
        <v>1059</v>
      </c>
    </row>
    <row r="78" spans="1:4" x14ac:dyDescent="0.25">
      <c r="A78" t="s">
        <v>1128</v>
      </c>
      <c r="B78" t="s">
        <v>1329</v>
      </c>
      <c r="C78" t="s">
        <v>1019</v>
      </c>
      <c r="D78" t="s">
        <v>1129</v>
      </c>
    </row>
    <row r="79" spans="1:4" x14ac:dyDescent="0.25">
      <c r="A79" t="s">
        <v>1130</v>
      </c>
      <c r="B79" t="s">
        <v>1330</v>
      </c>
      <c r="C79" t="s">
        <v>1131</v>
      </c>
      <c r="D79" t="s">
        <v>1132</v>
      </c>
    </row>
    <row r="80" spans="1:4" x14ac:dyDescent="0.25">
      <c r="A80" t="s">
        <v>1133</v>
      </c>
      <c r="C80" t="s">
        <v>1061</v>
      </c>
      <c r="D80" t="s">
        <v>1134</v>
      </c>
    </row>
    <row r="81" spans="1:4" x14ac:dyDescent="0.25">
      <c r="A81" t="s">
        <v>1135</v>
      </c>
      <c r="C81" t="s">
        <v>1061</v>
      </c>
      <c r="D81" t="s">
        <v>1136</v>
      </c>
    </row>
    <row r="82" spans="1:4" x14ac:dyDescent="0.25">
      <c r="A82" t="s">
        <v>1137</v>
      </c>
      <c r="C82" t="s">
        <v>1061</v>
      </c>
      <c r="D82" t="s">
        <v>1138</v>
      </c>
    </row>
    <row r="83" spans="1:4" x14ac:dyDescent="0.25">
      <c r="A83" t="s">
        <v>1139</v>
      </c>
      <c r="C83" t="s">
        <v>1061</v>
      </c>
      <c r="D83" t="s">
        <v>1140</v>
      </c>
    </row>
    <row r="84" spans="1:4" x14ac:dyDescent="0.25">
      <c r="A84" t="s">
        <v>1118</v>
      </c>
      <c r="B84" t="s">
        <v>1064</v>
      </c>
      <c r="C84" t="s">
        <v>1024</v>
      </c>
      <c r="D84" t="s">
        <v>1100</v>
      </c>
    </row>
    <row r="85" spans="1:4" x14ac:dyDescent="0.25">
      <c r="A85" t="s">
        <v>1119</v>
      </c>
      <c r="B85" t="s">
        <v>1064</v>
      </c>
      <c r="C85" t="s">
        <v>1024</v>
      </c>
      <c r="D85" t="s">
        <v>1141</v>
      </c>
    </row>
    <row r="86" spans="1:4" x14ac:dyDescent="0.25">
      <c r="A86" t="s">
        <v>1120</v>
      </c>
      <c r="B86" t="s">
        <v>1064</v>
      </c>
      <c r="C86" t="s">
        <v>1024</v>
      </c>
      <c r="D86" t="s">
        <v>1142</v>
      </c>
    </row>
    <row r="87" spans="1:4" x14ac:dyDescent="0.25">
      <c r="A87" t="s">
        <v>1122</v>
      </c>
      <c r="B87" t="s">
        <v>1064</v>
      </c>
      <c r="C87" t="s">
        <v>1024</v>
      </c>
      <c r="D87" t="s">
        <v>1143</v>
      </c>
    </row>
    <row r="90" spans="1:4" x14ac:dyDescent="0.25">
      <c r="A90" t="s">
        <v>1144</v>
      </c>
      <c r="C90" t="s">
        <v>1024</v>
      </c>
      <c r="D90" t="s">
        <v>1017</v>
      </c>
    </row>
    <row r="91" spans="1:4" x14ac:dyDescent="0.25">
      <c r="A91" t="s">
        <v>1145</v>
      </c>
      <c r="C91" t="s">
        <v>1019</v>
      </c>
      <c r="D91" t="s">
        <v>1146</v>
      </c>
    </row>
    <row r="92" spans="1:4" x14ac:dyDescent="0.25">
      <c r="A92" t="s">
        <v>1147</v>
      </c>
      <c r="C92" t="s">
        <v>1024</v>
      </c>
      <c r="D92" t="s">
        <v>1148</v>
      </c>
    </row>
    <row r="93" spans="1:4" x14ac:dyDescent="0.25">
      <c r="A93" t="s">
        <v>1149</v>
      </c>
      <c r="C93" t="s">
        <v>1061</v>
      </c>
      <c r="D93" t="s">
        <v>1150</v>
      </c>
    </row>
    <row r="94" spans="1:4" x14ac:dyDescent="0.25">
      <c r="A94" t="s">
        <v>1151</v>
      </c>
      <c r="C94" t="s">
        <v>1061</v>
      </c>
      <c r="D94" t="s">
        <v>1152</v>
      </c>
    </row>
    <row r="95" spans="1:4" x14ac:dyDescent="0.25">
      <c r="A95" t="s">
        <v>1153</v>
      </c>
      <c r="C95" t="s">
        <v>1061</v>
      </c>
      <c r="D95" t="s">
        <v>1154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D64"/>
  <sheetViews>
    <sheetView workbookViewId="0">
      <selection activeCell="B46" sqref="B46:B48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1014</v>
      </c>
      <c r="B1" t="s">
        <v>1015</v>
      </c>
      <c r="C1" t="s">
        <v>1016</v>
      </c>
      <c r="D1" t="s">
        <v>1017</v>
      </c>
    </row>
    <row r="2" spans="1:4" x14ac:dyDescent="0.25">
      <c r="A2" t="s">
        <v>1155</v>
      </c>
      <c r="B2">
        <v>1</v>
      </c>
      <c r="C2" t="s">
        <v>1019</v>
      </c>
      <c r="D2" t="s">
        <v>1020</v>
      </c>
    </row>
    <row r="3" spans="1:4" x14ac:dyDescent="0.25">
      <c r="A3" t="s">
        <v>1156</v>
      </c>
      <c r="B3">
        <v>1</v>
      </c>
      <c r="C3" t="s">
        <v>1019</v>
      </c>
      <c r="D3" t="s">
        <v>1022</v>
      </c>
    </row>
    <row r="4" spans="1:4" x14ac:dyDescent="0.25">
      <c r="A4" t="s">
        <v>1157</v>
      </c>
      <c r="B4">
        <v>12</v>
      </c>
      <c r="C4" t="s">
        <v>1024</v>
      </c>
      <c r="D4" t="s">
        <v>1025</v>
      </c>
    </row>
    <row r="5" spans="1:4" x14ac:dyDescent="0.25">
      <c r="A5" t="s">
        <v>1158</v>
      </c>
      <c r="B5">
        <v>23</v>
      </c>
      <c r="C5" t="s">
        <v>1024</v>
      </c>
      <c r="D5" t="s">
        <v>1027</v>
      </c>
    </row>
    <row r="6" spans="1:4" x14ac:dyDescent="0.25">
      <c r="A6" t="s">
        <v>1159</v>
      </c>
      <c r="B6">
        <v>34</v>
      </c>
      <c r="C6" t="s">
        <v>1024</v>
      </c>
      <c r="D6" t="s">
        <v>1031</v>
      </c>
    </row>
    <row r="8" spans="1:4" x14ac:dyDescent="0.25">
      <c r="A8" t="s">
        <v>1160</v>
      </c>
      <c r="B8">
        <v>1</v>
      </c>
      <c r="C8" t="s">
        <v>1019</v>
      </c>
      <c r="D8" t="s">
        <v>1033</v>
      </c>
    </row>
    <row r="9" spans="1:4" x14ac:dyDescent="0.25">
      <c r="A9" t="s">
        <v>1161</v>
      </c>
      <c r="B9">
        <v>1</v>
      </c>
      <c r="C9" t="s">
        <v>1019</v>
      </c>
      <c r="D9" t="s">
        <v>1035</v>
      </c>
    </row>
    <row r="10" spans="1:4" x14ac:dyDescent="0.25">
      <c r="A10" t="s">
        <v>1162</v>
      </c>
      <c r="B10">
        <v>12</v>
      </c>
      <c r="C10" t="s">
        <v>1024</v>
      </c>
      <c r="D10" t="s">
        <v>1039</v>
      </c>
    </row>
    <row r="11" spans="1:4" x14ac:dyDescent="0.25">
      <c r="A11" t="s">
        <v>1163</v>
      </c>
      <c r="B11">
        <v>1</v>
      </c>
      <c r="C11" t="s">
        <v>1024</v>
      </c>
      <c r="D11" t="s">
        <v>1164</v>
      </c>
    </row>
    <row r="12" spans="1:4" x14ac:dyDescent="0.25">
      <c r="A12" t="s">
        <v>1165</v>
      </c>
      <c r="B12">
        <v>15</v>
      </c>
      <c r="C12" t="s">
        <v>1024</v>
      </c>
      <c r="D12" t="s">
        <v>1166</v>
      </c>
    </row>
    <row r="13" spans="1:4" x14ac:dyDescent="0.25">
      <c r="A13" t="s">
        <v>1167</v>
      </c>
      <c r="B13">
        <v>1</v>
      </c>
      <c r="C13" t="s">
        <v>1041</v>
      </c>
      <c r="D13" t="s">
        <v>1168</v>
      </c>
    </row>
    <row r="15" spans="1:4" x14ac:dyDescent="0.25">
      <c r="A15" t="s">
        <v>1305</v>
      </c>
      <c r="B15">
        <v>2</v>
      </c>
      <c r="C15" t="s">
        <v>1304</v>
      </c>
      <c r="D15" t="s">
        <v>1302</v>
      </c>
    </row>
    <row r="17" spans="1:4" x14ac:dyDescent="0.25">
      <c r="A17" t="s">
        <v>1057</v>
      </c>
    </row>
    <row r="18" spans="1:4" x14ac:dyDescent="0.25">
      <c r="A18" t="s">
        <v>1169</v>
      </c>
      <c r="B18">
        <v>1</v>
      </c>
      <c r="C18" t="s">
        <v>1019</v>
      </c>
      <c r="D18" t="s">
        <v>1059</v>
      </c>
    </row>
    <row r="19" spans="1:4" x14ac:dyDescent="0.25">
      <c r="A19" t="s">
        <v>1170</v>
      </c>
      <c r="C19" t="s">
        <v>1061</v>
      </c>
      <c r="D19" t="s">
        <v>1062</v>
      </c>
    </row>
    <row r="20" spans="1:4" x14ac:dyDescent="0.25">
      <c r="A20" t="s">
        <v>1171</v>
      </c>
      <c r="B20" t="s">
        <v>1064</v>
      </c>
      <c r="C20" t="s">
        <v>1024</v>
      </c>
      <c r="D20" t="s">
        <v>1065</v>
      </c>
    </row>
    <row r="21" spans="1:4" x14ac:dyDescent="0.25">
      <c r="A21" t="s">
        <v>1172</v>
      </c>
      <c r="B21" t="s">
        <v>1064</v>
      </c>
      <c r="C21" t="s">
        <v>1024</v>
      </c>
      <c r="D21" t="s">
        <v>1067</v>
      </c>
    </row>
    <row r="22" spans="1:4" x14ac:dyDescent="0.25">
      <c r="A22" t="s">
        <v>1173</v>
      </c>
      <c r="B22" t="s">
        <v>1064</v>
      </c>
      <c r="C22" t="s">
        <v>1024</v>
      </c>
      <c r="D22" t="s">
        <v>1069</v>
      </c>
    </row>
    <row r="23" spans="1:4" x14ac:dyDescent="0.25">
      <c r="A23" t="s">
        <v>1174</v>
      </c>
      <c r="B23" t="s">
        <v>1064</v>
      </c>
      <c r="C23" t="s">
        <v>1024</v>
      </c>
      <c r="D23" t="s">
        <v>1071</v>
      </c>
    </row>
    <row r="24" spans="1:4" x14ac:dyDescent="0.25">
      <c r="A24" t="s">
        <v>1175</v>
      </c>
      <c r="B24" t="s">
        <v>1064</v>
      </c>
      <c r="C24" t="s">
        <v>1024</v>
      </c>
      <c r="D24" t="s">
        <v>1073</v>
      </c>
    </row>
    <row r="26" spans="1:4" x14ac:dyDescent="0.25">
      <c r="A26" t="s">
        <v>1093</v>
      </c>
    </row>
    <row r="27" spans="1:4" x14ac:dyDescent="0.25">
      <c r="A27" t="s">
        <v>1176</v>
      </c>
      <c r="B27">
        <v>1</v>
      </c>
      <c r="C27" t="s">
        <v>1019</v>
      </c>
      <c r="D27" t="s">
        <v>1059</v>
      </c>
    </row>
    <row r="28" spans="1:4" x14ac:dyDescent="0.25">
      <c r="A28" t="s">
        <v>1177</v>
      </c>
      <c r="C28" t="s">
        <v>1061</v>
      </c>
      <c r="D28" t="s">
        <v>1062</v>
      </c>
    </row>
    <row r="29" spans="1:4" x14ac:dyDescent="0.25">
      <c r="A29" t="s">
        <v>1178</v>
      </c>
      <c r="B29" t="s">
        <v>1064</v>
      </c>
      <c r="C29" t="s">
        <v>1024</v>
      </c>
      <c r="D29" t="s">
        <v>1065</v>
      </c>
    </row>
    <row r="30" spans="1:4" x14ac:dyDescent="0.25">
      <c r="A30" t="s">
        <v>1179</v>
      </c>
      <c r="B30" t="s">
        <v>1064</v>
      </c>
      <c r="C30" t="s">
        <v>1024</v>
      </c>
      <c r="D30" t="s">
        <v>1067</v>
      </c>
    </row>
    <row r="31" spans="1:4" x14ac:dyDescent="0.25">
      <c r="A31" t="s">
        <v>1180</v>
      </c>
      <c r="B31" t="s">
        <v>1064</v>
      </c>
      <c r="C31" t="s">
        <v>1024</v>
      </c>
      <c r="D31" t="s">
        <v>1071</v>
      </c>
    </row>
    <row r="32" spans="1:4" x14ac:dyDescent="0.25">
      <c r="A32" t="s">
        <v>1181</v>
      </c>
      <c r="B32" t="s">
        <v>1064</v>
      </c>
      <c r="C32" t="s">
        <v>1024</v>
      </c>
      <c r="D32" t="s">
        <v>1100</v>
      </c>
    </row>
    <row r="33" spans="1:4" x14ac:dyDescent="0.25">
      <c r="A33" t="s">
        <v>1182</v>
      </c>
      <c r="B33" t="s">
        <v>1064</v>
      </c>
      <c r="C33" t="s">
        <v>1024</v>
      </c>
      <c r="D33" t="s">
        <v>1102</v>
      </c>
    </row>
    <row r="35" spans="1:4" x14ac:dyDescent="0.25">
      <c r="A35" t="s">
        <v>1103</v>
      </c>
    </row>
    <row r="36" spans="1:4" x14ac:dyDescent="0.25">
      <c r="A36" t="s">
        <v>1183</v>
      </c>
      <c r="B36">
        <v>1</v>
      </c>
      <c r="C36" t="s">
        <v>1019</v>
      </c>
      <c r="D36" t="s">
        <v>1059</v>
      </c>
    </row>
    <row r="37" spans="1:4" x14ac:dyDescent="0.25">
      <c r="A37" t="s">
        <v>1184</v>
      </c>
      <c r="B37">
        <v>35</v>
      </c>
      <c r="C37" t="s">
        <v>1024</v>
      </c>
      <c r="D37" t="s">
        <v>1106</v>
      </c>
    </row>
    <row r="38" spans="1:4" x14ac:dyDescent="0.25">
      <c r="A38" t="s">
        <v>1185</v>
      </c>
      <c r="C38" t="s">
        <v>1061</v>
      </c>
      <c r="D38" t="s">
        <v>1062</v>
      </c>
    </row>
    <row r="39" spans="1:4" x14ac:dyDescent="0.25">
      <c r="A39" t="s">
        <v>1186</v>
      </c>
      <c r="B39" t="s">
        <v>1064</v>
      </c>
      <c r="C39" t="s">
        <v>1024</v>
      </c>
      <c r="D39" t="s">
        <v>1065</v>
      </c>
    </row>
    <row r="40" spans="1:4" x14ac:dyDescent="0.25">
      <c r="A40" t="s">
        <v>1187</v>
      </c>
      <c r="B40" t="s">
        <v>1064</v>
      </c>
      <c r="C40" t="s">
        <v>1024</v>
      </c>
      <c r="D40" t="s">
        <v>1067</v>
      </c>
    </row>
    <row r="41" spans="1:4" x14ac:dyDescent="0.25">
      <c r="A41" t="s">
        <v>1188</v>
      </c>
      <c r="B41" t="s">
        <v>1064</v>
      </c>
      <c r="C41" t="s">
        <v>1024</v>
      </c>
      <c r="D41" t="s">
        <v>1111</v>
      </c>
    </row>
    <row r="42" spans="1:4" x14ac:dyDescent="0.25">
      <c r="A42" t="s">
        <v>1189</v>
      </c>
      <c r="B42" t="s">
        <v>1064</v>
      </c>
      <c r="C42" t="s">
        <v>1024</v>
      </c>
      <c r="D42" t="s">
        <v>1100</v>
      </c>
    </row>
    <row r="43" spans="1:4" x14ac:dyDescent="0.25">
      <c r="A43" t="s">
        <v>1190</v>
      </c>
      <c r="B43" t="s">
        <v>1064</v>
      </c>
      <c r="C43" t="s">
        <v>1024</v>
      </c>
      <c r="D43" t="s">
        <v>1114</v>
      </c>
    </row>
    <row r="45" spans="1:4" x14ac:dyDescent="0.25">
      <c r="A45" t="s">
        <v>1126</v>
      </c>
    </row>
    <row r="46" spans="1:4" x14ac:dyDescent="0.25">
      <c r="A46" t="s">
        <v>1191</v>
      </c>
      <c r="B46" t="s">
        <v>1329</v>
      </c>
      <c r="C46" t="s">
        <v>1019</v>
      </c>
      <c r="D46" t="s">
        <v>1059</v>
      </c>
    </row>
    <row r="47" spans="1:4" x14ac:dyDescent="0.25">
      <c r="A47" t="s">
        <v>1192</v>
      </c>
      <c r="B47" t="s">
        <v>1329</v>
      </c>
      <c r="C47" t="s">
        <v>1019</v>
      </c>
      <c r="D47" t="s">
        <v>1129</v>
      </c>
    </row>
    <row r="48" spans="1:4" x14ac:dyDescent="0.25">
      <c r="A48" t="s">
        <v>1193</v>
      </c>
      <c r="B48" t="s">
        <v>1330</v>
      </c>
      <c r="C48" t="s">
        <v>1131</v>
      </c>
      <c r="D48" t="s">
        <v>1132</v>
      </c>
    </row>
    <row r="49" spans="1:4" x14ac:dyDescent="0.25">
      <c r="A49" t="s">
        <v>1194</v>
      </c>
      <c r="C49" t="s">
        <v>1061</v>
      </c>
      <c r="D49" t="s">
        <v>1134</v>
      </c>
    </row>
    <row r="50" spans="1:4" x14ac:dyDescent="0.25">
      <c r="A50" t="s">
        <v>1195</v>
      </c>
      <c r="C50" t="s">
        <v>1061</v>
      </c>
      <c r="D50" t="s">
        <v>1136</v>
      </c>
    </row>
    <row r="51" spans="1:4" x14ac:dyDescent="0.25">
      <c r="A51" t="s">
        <v>1196</v>
      </c>
      <c r="C51" t="s">
        <v>1061</v>
      </c>
      <c r="D51" t="s">
        <v>1138</v>
      </c>
    </row>
    <row r="52" spans="1:4" x14ac:dyDescent="0.25">
      <c r="A52" t="s">
        <v>1197</v>
      </c>
      <c r="C52" t="s">
        <v>1061</v>
      </c>
      <c r="D52" t="s">
        <v>1140</v>
      </c>
    </row>
    <row r="53" spans="1:4" x14ac:dyDescent="0.25">
      <c r="A53" t="s">
        <v>1198</v>
      </c>
      <c r="B53" t="s">
        <v>1064</v>
      </c>
      <c r="C53" t="s">
        <v>1024</v>
      </c>
      <c r="D53" t="s">
        <v>1100</v>
      </c>
    </row>
    <row r="54" spans="1:4" x14ac:dyDescent="0.25">
      <c r="A54" t="s">
        <v>1199</v>
      </c>
      <c r="B54" t="s">
        <v>1064</v>
      </c>
      <c r="C54" t="s">
        <v>1024</v>
      </c>
      <c r="D54" t="s">
        <v>1141</v>
      </c>
    </row>
    <row r="55" spans="1:4" x14ac:dyDescent="0.25">
      <c r="A55" t="s">
        <v>1200</v>
      </c>
      <c r="B55" t="s">
        <v>1064</v>
      </c>
      <c r="C55" t="s">
        <v>1024</v>
      </c>
      <c r="D55" t="s">
        <v>1142</v>
      </c>
    </row>
    <row r="56" spans="1:4" x14ac:dyDescent="0.25">
      <c r="A56" t="s">
        <v>1201</v>
      </c>
      <c r="B56" t="s">
        <v>1064</v>
      </c>
      <c r="C56" t="s">
        <v>1024</v>
      </c>
      <c r="D56" t="s">
        <v>1143</v>
      </c>
    </row>
    <row r="59" spans="1:4" x14ac:dyDescent="0.25">
      <c r="A59" t="s">
        <v>1202</v>
      </c>
      <c r="C59" t="s">
        <v>1024</v>
      </c>
      <c r="D59" t="s">
        <v>1017</v>
      </c>
    </row>
    <row r="60" spans="1:4" x14ac:dyDescent="0.25">
      <c r="A60" t="s">
        <v>1203</v>
      </c>
      <c r="C60" t="s">
        <v>1019</v>
      </c>
      <c r="D60" t="s">
        <v>1146</v>
      </c>
    </row>
    <row r="61" spans="1:4" x14ac:dyDescent="0.25">
      <c r="A61" t="s">
        <v>1204</v>
      </c>
      <c r="C61" t="s">
        <v>1024</v>
      </c>
      <c r="D61" t="s">
        <v>1148</v>
      </c>
    </row>
    <row r="62" spans="1:4" x14ac:dyDescent="0.25">
      <c r="A62" t="s">
        <v>1205</v>
      </c>
      <c r="C62" t="s">
        <v>1061</v>
      </c>
      <c r="D62" t="s">
        <v>1150</v>
      </c>
    </row>
    <row r="63" spans="1:4" x14ac:dyDescent="0.25">
      <c r="A63" t="s">
        <v>1206</v>
      </c>
      <c r="C63" t="s">
        <v>1061</v>
      </c>
      <c r="D63" t="s">
        <v>1152</v>
      </c>
    </row>
    <row r="64" spans="1:4" x14ac:dyDescent="0.25">
      <c r="A64" t="s">
        <v>1207</v>
      </c>
      <c r="C64" t="s">
        <v>1061</v>
      </c>
      <c r="D64" t="s">
        <v>1154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D83"/>
  <sheetViews>
    <sheetView workbookViewId="0">
      <selection activeCell="B25" sqref="B25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1014</v>
      </c>
      <c r="B1" t="s">
        <v>1015</v>
      </c>
      <c r="C1" t="s">
        <v>1016</v>
      </c>
      <c r="D1" t="s">
        <v>1017</v>
      </c>
    </row>
    <row r="2" spans="1:4" x14ac:dyDescent="0.25">
      <c r="A2" t="s">
        <v>1208</v>
      </c>
      <c r="B2">
        <v>1</v>
      </c>
      <c r="C2" t="s">
        <v>1019</v>
      </c>
      <c r="D2" t="s">
        <v>1020</v>
      </c>
    </row>
    <row r="3" spans="1:4" x14ac:dyDescent="0.25">
      <c r="A3" t="s">
        <v>1209</v>
      </c>
      <c r="B3">
        <v>1</v>
      </c>
      <c r="C3" t="s">
        <v>1019</v>
      </c>
      <c r="D3" t="s">
        <v>1022</v>
      </c>
    </row>
    <row r="4" spans="1:4" x14ac:dyDescent="0.25">
      <c r="A4" t="s">
        <v>1210</v>
      </c>
      <c r="B4">
        <v>20</v>
      </c>
      <c r="C4" t="s">
        <v>1024</v>
      </c>
      <c r="D4" t="s">
        <v>1025</v>
      </c>
    </row>
    <row r="5" spans="1:4" x14ac:dyDescent="0.25">
      <c r="A5" t="s">
        <v>1211</v>
      </c>
      <c r="B5">
        <v>10</v>
      </c>
      <c r="C5" t="s">
        <v>1024</v>
      </c>
      <c r="D5" t="s">
        <v>1027</v>
      </c>
    </row>
    <row r="6" spans="1:4" x14ac:dyDescent="0.25">
      <c r="A6" t="s">
        <v>1212</v>
      </c>
      <c r="B6">
        <v>30</v>
      </c>
      <c r="C6" t="s">
        <v>1024</v>
      </c>
      <c r="D6" t="s">
        <v>1031</v>
      </c>
    </row>
    <row r="8" spans="1:4" x14ac:dyDescent="0.25">
      <c r="A8" t="s">
        <v>1213</v>
      </c>
      <c r="B8">
        <v>1</v>
      </c>
      <c r="C8" t="s">
        <v>1019</v>
      </c>
      <c r="D8" t="s">
        <v>1033</v>
      </c>
    </row>
    <row r="9" spans="1:4" x14ac:dyDescent="0.25">
      <c r="A9" t="s">
        <v>1214</v>
      </c>
      <c r="B9">
        <v>1</v>
      </c>
      <c r="C9" t="s">
        <v>1019</v>
      </c>
      <c r="D9" t="s">
        <v>1035</v>
      </c>
    </row>
    <row r="10" spans="1:4" x14ac:dyDescent="0.25">
      <c r="A10" t="s">
        <v>1215</v>
      </c>
      <c r="B10">
        <v>1</v>
      </c>
      <c r="C10" t="s">
        <v>1041</v>
      </c>
      <c r="D10" t="s">
        <v>1052</v>
      </c>
    </row>
    <row r="11" spans="1:4" x14ac:dyDescent="0.25">
      <c r="A11" t="s">
        <v>1216</v>
      </c>
      <c r="B11">
        <v>10</v>
      </c>
      <c r="C11" t="s">
        <v>1024</v>
      </c>
      <c r="D11" t="s">
        <v>1217</v>
      </c>
    </row>
    <row r="12" spans="1:4" x14ac:dyDescent="0.25">
      <c r="A12" t="s">
        <v>1218</v>
      </c>
      <c r="B12">
        <v>20</v>
      </c>
      <c r="C12" t="s">
        <v>1024</v>
      </c>
      <c r="D12" t="s">
        <v>1219</v>
      </c>
    </row>
    <row r="13" spans="1:4" x14ac:dyDescent="0.25">
      <c r="A13" t="s">
        <v>1220</v>
      </c>
      <c r="B13">
        <v>1</v>
      </c>
      <c r="C13" t="s">
        <v>1041</v>
      </c>
      <c r="D13" t="s">
        <v>1042</v>
      </c>
    </row>
    <row r="14" spans="1:4" x14ac:dyDescent="0.25">
      <c r="A14" t="s">
        <v>1221</v>
      </c>
      <c r="B14">
        <v>30</v>
      </c>
      <c r="C14" t="s">
        <v>1024</v>
      </c>
      <c r="D14" t="s">
        <v>1164</v>
      </c>
    </row>
    <row r="15" spans="1:4" x14ac:dyDescent="0.25">
      <c r="A15" t="s">
        <v>1222</v>
      </c>
      <c r="B15">
        <v>40</v>
      </c>
      <c r="C15" t="s">
        <v>1024</v>
      </c>
      <c r="D15" t="s">
        <v>1223</v>
      </c>
    </row>
    <row r="16" spans="1:4" x14ac:dyDescent="0.25">
      <c r="A16" t="s">
        <v>1224</v>
      </c>
      <c r="B16">
        <v>50</v>
      </c>
      <c r="C16" t="s">
        <v>1024</v>
      </c>
      <c r="D16" t="s">
        <v>1225</v>
      </c>
    </row>
    <row r="18" spans="1:4" x14ac:dyDescent="0.25">
      <c r="A18" t="s">
        <v>1303</v>
      </c>
      <c r="B18">
        <v>3</v>
      </c>
      <c r="C18" t="s">
        <v>1304</v>
      </c>
      <c r="D18" t="s">
        <v>1302</v>
      </c>
    </row>
    <row r="20" spans="1:4" x14ac:dyDescent="0.25">
      <c r="A20" t="s">
        <v>1057</v>
      </c>
    </row>
    <row r="21" spans="1:4" x14ac:dyDescent="0.25">
      <c r="A21" t="s">
        <v>1226</v>
      </c>
      <c r="B21">
        <v>1</v>
      </c>
      <c r="C21" t="s">
        <v>1019</v>
      </c>
      <c r="D21" t="s">
        <v>1059</v>
      </c>
    </row>
    <row r="22" spans="1:4" x14ac:dyDescent="0.25">
      <c r="A22" t="s">
        <v>1227</v>
      </c>
      <c r="C22" t="s">
        <v>1061</v>
      </c>
      <c r="D22" t="s">
        <v>1062</v>
      </c>
    </row>
    <row r="23" spans="1:4" x14ac:dyDescent="0.25">
      <c r="A23" t="s">
        <v>1228</v>
      </c>
      <c r="B23" t="s">
        <v>1064</v>
      </c>
      <c r="C23" t="s">
        <v>1024</v>
      </c>
      <c r="D23" t="s">
        <v>1065</v>
      </c>
    </row>
    <row r="24" spans="1:4" x14ac:dyDescent="0.25">
      <c r="A24" t="s">
        <v>1229</v>
      </c>
      <c r="B24" t="s">
        <v>1064</v>
      </c>
      <c r="C24" t="s">
        <v>1024</v>
      </c>
      <c r="D24" t="s">
        <v>1067</v>
      </c>
    </row>
    <row r="25" spans="1:4" x14ac:dyDescent="0.25">
      <c r="A25" t="s">
        <v>1230</v>
      </c>
      <c r="B25" t="s">
        <v>1064</v>
      </c>
      <c r="C25" t="s">
        <v>1024</v>
      </c>
      <c r="D25" t="s">
        <v>1069</v>
      </c>
    </row>
    <row r="26" spans="1:4" x14ac:dyDescent="0.25">
      <c r="A26" t="s">
        <v>1231</v>
      </c>
      <c r="B26" t="s">
        <v>1064</v>
      </c>
      <c r="C26" t="s">
        <v>1024</v>
      </c>
      <c r="D26" t="s">
        <v>1232</v>
      </c>
    </row>
    <row r="27" spans="1:4" x14ac:dyDescent="0.25">
      <c r="A27" t="s">
        <v>1233</v>
      </c>
      <c r="B27" t="s">
        <v>1064</v>
      </c>
      <c r="C27" t="s">
        <v>1024</v>
      </c>
      <c r="D27" t="s">
        <v>1071</v>
      </c>
    </row>
    <row r="28" spans="1:4" x14ac:dyDescent="0.25">
      <c r="A28" t="s">
        <v>1234</v>
      </c>
      <c r="C28" t="s">
        <v>1024</v>
      </c>
      <c r="D28" t="s">
        <v>1073</v>
      </c>
    </row>
    <row r="30" spans="1:4" x14ac:dyDescent="0.25">
      <c r="A30" t="s">
        <v>1074</v>
      </c>
    </row>
    <row r="31" spans="1:4" x14ac:dyDescent="0.25">
      <c r="A31" t="s">
        <v>1235</v>
      </c>
      <c r="B31">
        <v>1</v>
      </c>
      <c r="C31" t="s">
        <v>1019</v>
      </c>
      <c r="D31" t="s">
        <v>1059</v>
      </c>
    </row>
    <row r="32" spans="1:4" x14ac:dyDescent="0.25">
      <c r="A32" t="s">
        <v>1236</v>
      </c>
      <c r="B32">
        <v>30</v>
      </c>
      <c r="C32" t="s">
        <v>1024</v>
      </c>
      <c r="D32" t="s">
        <v>1077</v>
      </c>
    </row>
    <row r="33" spans="1:4" x14ac:dyDescent="0.25">
      <c r="A33" t="s">
        <v>1237</v>
      </c>
      <c r="B33">
        <v>50</v>
      </c>
      <c r="C33" t="s">
        <v>1024</v>
      </c>
      <c r="D33" t="s">
        <v>1238</v>
      </c>
    </row>
    <row r="34" spans="1:4" x14ac:dyDescent="0.25">
      <c r="A34" t="s">
        <v>1239</v>
      </c>
      <c r="C34" t="s">
        <v>1061</v>
      </c>
      <c r="D34" t="s">
        <v>1062</v>
      </c>
    </row>
    <row r="35" spans="1:4" x14ac:dyDescent="0.25">
      <c r="A35" t="s">
        <v>1240</v>
      </c>
      <c r="C35" t="s">
        <v>1024</v>
      </c>
      <c r="D35" t="s">
        <v>1082</v>
      </c>
    </row>
    <row r="36" spans="1:4" x14ac:dyDescent="0.25">
      <c r="A36" t="s">
        <v>1241</v>
      </c>
      <c r="C36" t="s">
        <v>1024</v>
      </c>
      <c r="D36" t="s">
        <v>1084</v>
      </c>
    </row>
    <row r="37" spans="1:4" x14ac:dyDescent="0.25">
      <c r="A37" t="s">
        <v>1242</v>
      </c>
      <c r="C37" t="s">
        <v>1024</v>
      </c>
      <c r="D37" t="s">
        <v>1086</v>
      </c>
    </row>
    <row r="38" spans="1:4" x14ac:dyDescent="0.25">
      <c r="A38" t="s">
        <v>1243</v>
      </c>
      <c r="C38" t="s">
        <v>1024</v>
      </c>
      <c r="D38" t="s">
        <v>1088</v>
      </c>
    </row>
    <row r="39" spans="1:4" x14ac:dyDescent="0.25">
      <c r="A39" t="s">
        <v>1244</v>
      </c>
      <c r="C39" t="s">
        <v>1024</v>
      </c>
      <c r="D39" t="s">
        <v>1090</v>
      </c>
    </row>
    <row r="40" spans="1:4" x14ac:dyDescent="0.25">
      <c r="A40" t="s">
        <v>1245</v>
      </c>
      <c r="C40" t="s">
        <v>1024</v>
      </c>
      <c r="D40" t="s">
        <v>1246</v>
      </c>
    </row>
    <row r="42" spans="1:4" x14ac:dyDescent="0.25">
      <c r="A42" t="s">
        <v>1093</v>
      </c>
    </row>
    <row r="43" spans="1:4" x14ac:dyDescent="0.25">
      <c r="A43" t="s">
        <v>1247</v>
      </c>
      <c r="B43">
        <v>1</v>
      </c>
      <c r="C43" t="s">
        <v>1019</v>
      </c>
      <c r="D43" t="s">
        <v>1059</v>
      </c>
    </row>
    <row r="44" spans="1:4" x14ac:dyDescent="0.25">
      <c r="A44" t="s">
        <v>1248</v>
      </c>
      <c r="B44">
        <v>105</v>
      </c>
      <c r="C44" t="s">
        <v>1061</v>
      </c>
      <c r="D44" t="s">
        <v>1062</v>
      </c>
    </row>
    <row r="45" spans="1:4" x14ac:dyDescent="0.25">
      <c r="A45" t="s">
        <v>1249</v>
      </c>
      <c r="B45" t="s">
        <v>1064</v>
      </c>
      <c r="C45" t="s">
        <v>1024</v>
      </c>
      <c r="D45" t="s">
        <v>1065</v>
      </c>
    </row>
    <row r="46" spans="1:4" x14ac:dyDescent="0.25">
      <c r="A46" t="s">
        <v>1250</v>
      </c>
      <c r="B46" t="s">
        <v>1064</v>
      </c>
      <c r="C46" t="s">
        <v>1024</v>
      </c>
      <c r="D46" t="s">
        <v>1067</v>
      </c>
    </row>
    <row r="47" spans="1:4" x14ac:dyDescent="0.25">
      <c r="A47" t="s">
        <v>1251</v>
      </c>
      <c r="B47" t="s">
        <v>1064</v>
      </c>
      <c r="C47" t="s">
        <v>1024</v>
      </c>
      <c r="D47" t="s">
        <v>1071</v>
      </c>
    </row>
    <row r="48" spans="1:4" x14ac:dyDescent="0.25">
      <c r="A48" t="s">
        <v>1252</v>
      </c>
      <c r="B48" t="s">
        <v>1064</v>
      </c>
      <c r="C48" t="s">
        <v>1024</v>
      </c>
      <c r="D48" t="s">
        <v>1246</v>
      </c>
    </row>
    <row r="49" spans="1:4" x14ac:dyDescent="0.25">
      <c r="A49" t="s">
        <v>1253</v>
      </c>
      <c r="B49" t="s">
        <v>1064</v>
      </c>
      <c r="C49" t="s">
        <v>1024</v>
      </c>
      <c r="D49" t="s">
        <v>1100</v>
      </c>
    </row>
    <row r="50" spans="1:4" x14ac:dyDescent="0.25">
      <c r="A50" t="s">
        <v>1254</v>
      </c>
      <c r="C50" t="s">
        <v>1024</v>
      </c>
      <c r="D50" t="s">
        <v>1102</v>
      </c>
    </row>
    <row r="52" spans="1:4" x14ac:dyDescent="0.25">
      <c r="A52" t="s">
        <v>1103</v>
      </c>
    </row>
    <row r="53" spans="1:4" x14ac:dyDescent="0.25">
      <c r="A53" t="s">
        <v>1255</v>
      </c>
      <c r="B53">
        <v>1</v>
      </c>
      <c r="C53" t="s">
        <v>1019</v>
      </c>
      <c r="D53" t="s">
        <v>1059</v>
      </c>
    </row>
    <row r="54" spans="1:4" x14ac:dyDescent="0.25">
      <c r="A54" t="s">
        <v>1256</v>
      </c>
      <c r="B54">
        <v>105</v>
      </c>
      <c r="C54" t="s">
        <v>1024</v>
      </c>
      <c r="D54" t="s">
        <v>1106</v>
      </c>
    </row>
    <row r="55" spans="1:4" x14ac:dyDescent="0.25">
      <c r="A55" t="s">
        <v>1257</v>
      </c>
      <c r="C55" t="s">
        <v>1061</v>
      </c>
      <c r="D55" t="s">
        <v>1062</v>
      </c>
    </row>
    <row r="56" spans="1:4" x14ac:dyDescent="0.25">
      <c r="A56" t="s">
        <v>1258</v>
      </c>
      <c r="B56" t="s">
        <v>1064</v>
      </c>
      <c r="C56" t="s">
        <v>1024</v>
      </c>
      <c r="D56" t="s">
        <v>1065</v>
      </c>
    </row>
    <row r="57" spans="1:4" x14ac:dyDescent="0.25">
      <c r="A57" t="s">
        <v>1259</v>
      </c>
      <c r="B57" t="s">
        <v>1064</v>
      </c>
      <c r="C57" t="s">
        <v>1024</v>
      </c>
      <c r="D57" t="s">
        <v>1067</v>
      </c>
    </row>
    <row r="58" spans="1:4" x14ac:dyDescent="0.25">
      <c r="A58" t="s">
        <v>1260</v>
      </c>
      <c r="B58" t="s">
        <v>1064</v>
      </c>
      <c r="C58" t="s">
        <v>1024</v>
      </c>
      <c r="D58" t="s">
        <v>1232</v>
      </c>
    </row>
    <row r="59" spans="1:4" x14ac:dyDescent="0.25">
      <c r="A59" t="s">
        <v>1261</v>
      </c>
      <c r="B59" t="s">
        <v>1064</v>
      </c>
      <c r="C59" t="s">
        <v>1024</v>
      </c>
      <c r="D59" t="s">
        <v>1111</v>
      </c>
    </row>
    <row r="60" spans="1:4" x14ac:dyDescent="0.25">
      <c r="A60" t="s">
        <v>1262</v>
      </c>
      <c r="B60" t="s">
        <v>1064</v>
      </c>
      <c r="C60" t="s">
        <v>1024</v>
      </c>
      <c r="D60" t="s">
        <v>1100</v>
      </c>
    </row>
    <row r="61" spans="1:4" x14ac:dyDescent="0.25">
      <c r="A61" t="s">
        <v>1263</v>
      </c>
      <c r="C61" t="s">
        <v>1024</v>
      </c>
      <c r="D61" t="s">
        <v>1114</v>
      </c>
    </row>
    <row r="63" spans="1:4" x14ac:dyDescent="0.25">
      <c r="A63" t="s">
        <v>1126</v>
      </c>
    </row>
    <row r="64" spans="1:4" x14ac:dyDescent="0.25">
      <c r="A64" t="s">
        <v>1264</v>
      </c>
      <c r="B64" t="s">
        <v>1329</v>
      </c>
      <c r="C64" t="s">
        <v>1019</v>
      </c>
      <c r="D64" t="s">
        <v>1059</v>
      </c>
    </row>
    <row r="65" spans="1:4" x14ac:dyDescent="0.25">
      <c r="A65" t="s">
        <v>1265</v>
      </c>
      <c r="B65" t="s">
        <v>1329</v>
      </c>
      <c r="C65" t="s">
        <v>1019</v>
      </c>
      <c r="D65" t="s">
        <v>1129</v>
      </c>
    </row>
    <row r="66" spans="1:4" x14ac:dyDescent="0.25">
      <c r="A66" t="s">
        <v>1266</v>
      </c>
      <c r="B66" t="s">
        <v>1330</v>
      </c>
      <c r="C66" t="s">
        <v>1131</v>
      </c>
      <c r="D66" t="s">
        <v>1132</v>
      </c>
    </row>
    <row r="67" spans="1:4" x14ac:dyDescent="0.25">
      <c r="A67" t="s">
        <v>1267</v>
      </c>
      <c r="C67" t="s">
        <v>1061</v>
      </c>
      <c r="D67" t="s">
        <v>1134</v>
      </c>
    </row>
    <row r="68" spans="1:4" x14ac:dyDescent="0.25">
      <c r="A68" t="s">
        <v>1268</v>
      </c>
      <c r="C68" t="s">
        <v>1061</v>
      </c>
      <c r="D68" t="s">
        <v>1136</v>
      </c>
    </row>
    <row r="69" spans="1:4" x14ac:dyDescent="0.25">
      <c r="A69" t="s">
        <v>1269</v>
      </c>
      <c r="C69" t="s">
        <v>1061</v>
      </c>
      <c r="D69" t="s">
        <v>1138</v>
      </c>
    </row>
    <row r="70" spans="1:4" x14ac:dyDescent="0.25">
      <c r="A70" t="s">
        <v>1270</v>
      </c>
      <c r="C70" t="s">
        <v>1061</v>
      </c>
      <c r="D70" t="s">
        <v>1140</v>
      </c>
    </row>
    <row r="71" spans="1:4" x14ac:dyDescent="0.25">
      <c r="A71" t="s">
        <v>1271</v>
      </c>
      <c r="B71" t="s">
        <v>1064</v>
      </c>
      <c r="C71" t="s">
        <v>1024</v>
      </c>
      <c r="D71" t="s">
        <v>1100</v>
      </c>
    </row>
    <row r="72" spans="1:4" x14ac:dyDescent="0.25">
      <c r="A72" t="s">
        <v>1272</v>
      </c>
      <c r="B72" t="s">
        <v>1064</v>
      </c>
      <c r="C72" t="s">
        <v>1024</v>
      </c>
      <c r="D72" t="s">
        <v>1141</v>
      </c>
    </row>
    <row r="73" spans="1:4" x14ac:dyDescent="0.25">
      <c r="A73" t="s">
        <v>1273</v>
      </c>
      <c r="B73" t="s">
        <v>1064</v>
      </c>
      <c r="C73" t="s">
        <v>1024</v>
      </c>
      <c r="D73" t="s">
        <v>1274</v>
      </c>
    </row>
    <row r="74" spans="1:4" x14ac:dyDescent="0.25">
      <c r="A74" t="s">
        <v>1275</v>
      </c>
      <c r="B74" t="s">
        <v>1064</v>
      </c>
      <c r="C74" t="s">
        <v>1024</v>
      </c>
      <c r="D74" t="s">
        <v>1142</v>
      </c>
    </row>
    <row r="75" spans="1:4" x14ac:dyDescent="0.25">
      <c r="A75" t="s">
        <v>1276</v>
      </c>
      <c r="B75" t="s">
        <v>1064</v>
      </c>
      <c r="C75" t="s">
        <v>1024</v>
      </c>
      <c r="D75" t="s">
        <v>1143</v>
      </c>
    </row>
    <row r="78" spans="1:4" x14ac:dyDescent="0.25">
      <c r="A78" t="s">
        <v>1277</v>
      </c>
      <c r="C78" t="s">
        <v>1024</v>
      </c>
      <c r="D78" t="s">
        <v>1017</v>
      </c>
    </row>
    <row r="79" spans="1:4" x14ac:dyDescent="0.25">
      <c r="A79" t="s">
        <v>1278</v>
      </c>
      <c r="C79" t="s">
        <v>1019</v>
      </c>
      <c r="D79" t="s">
        <v>1146</v>
      </c>
    </row>
    <row r="80" spans="1:4" x14ac:dyDescent="0.25">
      <c r="A80" t="s">
        <v>1279</v>
      </c>
      <c r="C80" t="s">
        <v>1024</v>
      </c>
      <c r="D80" t="s">
        <v>1148</v>
      </c>
    </row>
    <row r="81" spans="1:4" x14ac:dyDescent="0.25">
      <c r="A81" t="s">
        <v>1280</v>
      </c>
      <c r="C81" t="s">
        <v>1061</v>
      </c>
      <c r="D81" t="s">
        <v>1150</v>
      </c>
    </row>
    <row r="82" spans="1:4" x14ac:dyDescent="0.25">
      <c r="A82" t="s">
        <v>1281</v>
      </c>
      <c r="C82" t="s">
        <v>1061</v>
      </c>
      <c r="D82" t="s">
        <v>1152</v>
      </c>
    </row>
    <row r="83" spans="1:4" x14ac:dyDescent="0.25">
      <c r="A83" t="s">
        <v>1282</v>
      </c>
      <c r="C83" t="s">
        <v>1061</v>
      </c>
      <c r="D83" t="s">
        <v>1154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G70"/>
  <sheetViews>
    <sheetView topLeftCell="A31" workbookViewId="0">
      <selection activeCell="B42" sqref="B42"/>
    </sheetView>
  </sheetViews>
  <sheetFormatPr defaultColWidth="9.140625" defaultRowHeight="15" x14ac:dyDescent="0.25"/>
  <cols>
    <col min="1" max="16384" width="9.140625" style="40"/>
  </cols>
  <sheetData>
    <row r="1" spans="1:7" ht="17.25" x14ac:dyDescent="0.3">
      <c r="A1" s="42" t="s">
        <v>980</v>
      </c>
    </row>
    <row r="2" spans="1:7" ht="17.25" x14ac:dyDescent="0.3">
      <c r="A2" s="42" t="s">
        <v>981</v>
      </c>
    </row>
    <row r="3" spans="1:7" ht="17.25" x14ac:dyDescent="0.3">
      <c r="A3" s="42" t="s">
        <v>982</v>
      </c>
    </row>
    <row r="5" spans="1:7" ht="17.25" x14ac:dyDescent="0.3">
      <c r="A5" s="42" t="s">
        <v>1338</v>
      </c>
    </row>
    <row r="6" spans="1:7" ht="17.25" x14ac:dyDescent="0.3">
      <c r="A6" s="42" t="s">
        <v>983</v>
      </c>
    </row>
    <row r="7" spans="1:7" x14ac:dyDescent="0.25">
      <c r="A7" s="41" t="s">
        <v>127</v>
      </c>
      <c r="G7" s="40" t="s">
        <v>128</v>
      </c>
    </row>
    <row r="8" spans="1:7" x14ac:dyDescent="0.25">
      <c r="A8" s="41" t="s">
        <v>1006</v>
      </c>
      <c r="G8" s="40" t="s">
        <v>1348</v>
      </c>
    </row>
    <row r="9" spans="1:7" x14ac:dyDescent="0.25">
      <c r="A9" s="41" t="s">
        <v>984</v>
      </c>
      <c r="G9" s="40" t="s">
        <v>985</v>
      </c>
    </row>
    <row r="10" spans="1:7" x14ac:dyDescent="0.25">
      <c r="A10" s="41" t="s">
        <v>986</v>
      </c>
      <c r="G10" s="40" t="s">
        <v>1349</v>
      </c>
    </row>
    <row r="11" spans="1:7" x14ac:dyDescent="0.25">
      <c r="A11" s="41" t="s">
        <v>987</v>
      </c>
      <c r="G11" s="40" t="s">
        <v>1350</v>
      </c>
    </row>
    <row r="12" spans="1:7" x14ac:dyDescent="0.25">
      <c r="A12" s="41" t="s">
        <v>988</v>
      </c>
      <c r="G12" s="40" t="s">
        <v>1283</v>
      </c>
    </row>
    <row r="13" spans="1:7" x14ac:dyDescent="0.25">
      <c r="A13" s="41" t="s">
        <v>989</v>
      </c>
      <c r="G13" s="40" t="s">
        <v>990</v>
      </c>
    </row>
    <row r="14" spans="1:7" x14ac:dyDescent="0.25">
      <c r="A14" s="41" t="s">
        <v>991</v>
      </c>
      <c r="G14" s="40" t="s">
        <v>992</v>
      </c>
    </row>
    <row r="15" spans="1:7" x14ac:dyDescent="0.25">
      <c r="A15" s="41" t="s">
        <v>1284</v>
      </c>
      <c r="G15" s="40" t="s">
        <v>1307</v>
      </c>
    </row>
    <row r="16" spans="1:7" x14ac:dyDescent="0.25">
      <c r="A16" s="41" t="s">
        <v>993</v>
      </c>
      <c r="G16" s="40" t="s">
        <v>1308</v>
      </c>
    </row>
    <row r="17" spans="1:7" x14ac:dyDescent="0.25">
      <c r="A17" s="41" t="s">
        <v>1285</v>
      </c>
      <c r="G17" s="40" t="s">
        <v>1309</v>
      </c>
    </row>
    <row r="18" spans="1:7" x14ac:dyDescent="0.25">
      <c r="A18" s="41" t="s">
        <v>1286</v>
      </c>
      <c r="G18" s="40" t="s">
        <v>1287</v>
      </c>
    </row>
    <row r="19" spans="1:7" x14ac:dyDescent="0.25">
      <c r="A19" s="41" t="s">
        <v>1288</v>
      </c>
      <c r="G19" s="40" t="s">
        <v>1287</v>
      </c>
    </row>
    <row r="20" spans="1:7" x14ac:dyDescent="0.25">
      <c r="A20" s="41" t="s">
        <v>1289</v>
      </c>
      <c r="G20" s="40" t="s">
        <v>1290</v>
      </c>
    </row>
    <row r="21" spans="1:7" x14ac:dyDescent="0.25">
      <c r="A21" s="41" t="s">
        <v>1291</v>
      </c>
      <c r="G21" s="40" t="s">
        <v>1292</v>
      </c>
    </row>
    <row r="22" spans="1:7" x14ac:dyDescent="0.25">
      <c r="A22" s="41" t="s">
        <v>994</v>
      </c>
      <c r="G22" s="40" t="s">
        <v>995</v>
      </c>
    </row>
    <row r="24" spans="1:7" ht="17.25" x14ac:dyDescent="0.3">
      <c r="A24" s="42" t="s">
        <v>996</v>
      </c>
    </row>
    <row r="25" spans="1:7" x14ac:dyDescent="0.25">
      <c r="A25" s="41" t="s">
        <v>1293</v>
      </c>
      <c r="G25" s="40" t="s">
        <v>23</v>
      </c>
    </row>
    <row r="26" spans="1:7" x14ac:dyDescent="0.25">
      <c r="A26" s="41" t="s">
        <v>1339</v>
      </c>
      <c r="G26" s="40" t="s">
        <v>1340</v>
      </c>
    </row>
    <row r="27" spans="1:7" x14ac:dyDescent="0.25">
      <c r="A27" s="41" t="s">
        <v>1341</v>
      </c>
      <c r="G27" s="40" t="s">
        <v>1342</v>
      </c>
    </row>
    <row r="30" spans="1:7" ht="17.25" x14ac:dyDescent="0.3">
      <c r="A30" s="42" t="s">
        <v>997</v>
      </c>
    </row>
    <row r="31" spans="1:7" x14ac:dyDescent="0.25">
      <c r="A31" s="41" t="s">
        <v>1346</v>
      </c>
    </row>
    <row r="38" spans="1:1" ht="17.25" x14ac:dyDescent="0.3">
      <c r="A38" s="42" t="s">
        <v>998</v>
      </c>
    </row>
    <row r="39" spans="1:1" ht="18" x14ac:dyDescent="0.35">
      <c r="A39" s="40" t="s">
        <v>1351</v>
      </c>
    </row>
    <row r="40" spans="1:1" ht="18" x14ac:dyDescent="0.35">
      <c r="A40" s="41" t="s">
        <v>1352</v>
      </c>
    </row>
    <row r="41" spans="1:1" ht="18.75" x14ac:dyDescent="0.35">
      <c r="A41" s="40" t="s">
        <v>1353</v>
      </c>
    </row>
    <row r="42" spans="1:1" ht="18" x14ac:dyDescent="0.35">
      <c r="A42" s="40" t="s">
        <v>1343</v>
      </c>
    </row>
    <row r="43" spans="1:1" ht="17.25" x14ac:dyDescent="0.3">
      <c r="A43" s="42" t="s">
        <v>1344</v>
      </c>
    </row>
    <row r="45" spans="1:1" ht="17.25" x14ac:dyDescent="0.3">
      <c r="A45" s="42" t="s">
        <v>1345</v>
      </c>
    </row>
    <row r="47" spans="1:1" ht="17.25" x14ac:dyDescent="0.3">
      <c r="A47" s="42" t="s">
        <v>1300</v>
      </c>
    </row>
    <row r="48" spans="1:1" x14ac:dyDescent="0.25">
      <c r="A48" s="41" t="s">
        <v>1003</v>
      </c>
    </row>
    <row r="49" spans="1:1" x14ac:dyDescent="0.25">
      <c r="A49" s="40" t="s">
        <v>1004</v>
      </c>
    </row>
    <row r="50" spans="1:1" x14ac:dyDescent="0.25">
      <c r="A50" s="41" t="s">
        <v>1295</v>
      </c>
    </row>
    <row r="51" spans="1:1" x14ac:dyDescent="0.25">
      <c r="A51" s="40" t="s">
        <v>1301</v>
      </c>
    </row>
    <row r="52" spans="1:1" x14ac:dyDescent="0.25">
      <c r="A52" s="41" t="s">
        <v>999</v>
      </c>
    </row>
    <row r="53" spans="1:1" x14ac:dyDescent="0.25">
      <c r="A53" s="40" t="s">
        <v>1294</v>
      </c>
    </row>
    <row r="54" spans="1:1" ht="18" x14ac:dyDescent="0.35">
      <c r="A54" s="40" t="s">
        <v>1354</v>
      </c>
    </row>
    <row r="55" spans="1:1" x14ac:dyDescent="0.25">
      <c r="A55" s="40" t="s">
        <v>1000</v>
      </c>
    </row>
    <row r="56" spans="1:1" x14ac:dyDescent="0.25">
      <c r="A56" s="40" t="s">
        <v>1001</v>
      </c>
    </row>
    <row r="57" spans="1:1" x14ac:dyDescent="0.25">
      <c r="A57" s="40" t="s">
        <v>1002</v>
      </c>
    </row>
    <row r="58" spans="1:1" ht="18" x14ac:dyDescent="0.35">
      <c r="A58" s="40" t="s">
        <v>1354</v>
      </c>
    </row>
    <row r="59" spans="1:1" x14ac:dyDescent="0.25">
      <c r="A59" s="41" t="s">
        <v>1296</v>
      </c>
    </row>
    <row r="60" spans="1:1" x14ac:dyDescent="0.25">
      <c r="A60" s="40" t="s">
        <v>1355</v>
      </c>
    </row>
    <row r="61" spans="1:1" ht="18.75" x14ac:dyDescent="0.35">
      <c r="A61" s="40" t="s">
        <v>1356</v>
      </c>
    </row>
    <row r="62" spans="1:1" ht="17.25" x14ac:dyDescent="0.25">
      <c r="A62" s="40" t="s">
        <v>1357</v>
      </c>
    </row>
    <row r="63" spans="1:1" ht="18.75" x14ac:dyDescent="0.35">
      <c r="A63" s="40" t="s">
        <v>1358</v>
      </c>
    </row>
    <row r="64" spans="1:1" ht="17.25" x14ac:dyDescent="0.25">
      <c r="A64" s="40" t="s">
        <v>1359</v>
      </c>
    </row>
    <row r="65" spans="1:2" ht="18.75" x14ac:dyDescent="0.35">
      <c r="A65" s="40" t="s">
        <v>1360</v>
      </c>
    </row>
    <row r="66" spans="1:2" ht="18.75" x14ac:dyDescent="0.35">
      <c r="A66" s="40" t="s">
        <v>1361</v>
      </c>
    </row>
    <row r="67" spans="1:2" x14ac:dyDescent="0.25">
      <c r="A67" s="41" t="s">
        <v>1297</v>
      </c>
    </row>
    <row r="68" spans="1:2" x14ac:dyDescent="0.25">
      <c r="A68" s="40" t="s">
        <v>1301</v>
      </c>
    </row>
    <row r="69" spans="1:2" ht="18" x14ac:dyDescent="0.35">
      <c r="A69" s="40" t="s">
        <v>1298</v>
      </c>
      <c r="B69" s="40">
        <v>15.023988094887857</v>
      </c>
    </row>
    <row r="70" spans="1:2" ht="18" x14ac:dyDescent="0.35">
      <c r="A70" s="40" t="s">
        <v>1299</v>
      </c>
      <c r="B70" s="40">
        <v>18.028785713865428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Макросы Excel 4.0</vt:lpstr>
      </vt:variant>
      <vt:variant>
        <vt:i4>1</vt:i4>
      </vt:variant>
    </vt:vector>
  </HeadingPairs>
  <TitlesOfParts>
    <vt:vector size="19" baseType="lpstr">
      <vt:lpstr>Изоляция труб</vt:lpstr>
      <vt:lpstr>region</vt:lpstr>
      <vt:lpstr>UslDiam</vt:lpstr>
      <vt:lpstr>Изоляция плоскостей</vt:lpstr>
      <vt:lpstr>Описание</vt:lpstr>
      <vt:lpstr>communication</vt:lpstr>
      <vt:lpstr>7</vt:lpstr>
      <vt:lpstr>6</vt:lpstr>
      <vt:lpstr>3</vt:lpstr>
      <vt:lpstr>2</vt:lpstr>
      <vt:lpstr>1</vt:lpstr>
      <vt:lpstr>Теплоносители</vt:lpstr>
      <vt:lpstr>Влажность</vt:lpstr>
      <vt:lpstr>R_L_н</vt:lpstr>
      <vt:lpstr>Trub</vt:lpstr>
      <vt:lpstr>Plosk</vt:lpstr>
      <vt:lpstr>Emk</vt:lpstr>
      <vt:lpstr>Протокол</vt:lpstr>
      <vt:lpstr>Макрос1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PAVrus</dc:creator>
  <cp:lastModifiedBy>Пользователь Windows</cp:lastModifiedBy>
  <dcterms:created xsi:type="dcterms:W3CDTF">2014-07-26T17:40:35Z</dcterms:created>
  <dcterms:modified xsi:type="dcterms:W3CDTF">2020-01-14T17:19:16Z</dcterms:modified>
</cp:coreProperties>
</file>